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agatsya\Downloads\"/>
    </mc:Choice>
  </mc:AlternateContent>
  <xr:revisionPtr revIDLastSave="0" documentId="13_ncr:1_{AE479AD5-468D-43CD-80B7-5CAC037D1EE6}" xr6:coauthVersionLast="47" xr6:coauthVersionMax="47" xr10:uidLastSave="{00000000-0000-0000-0000-000000000000}"/>
  <bookViews>
    <workbookView xWindow="-110" yWindow="-110" windowWidth="19420" windowHeight="10300" tabRatio="500" firstSheet="6" activeTab="9" xr2:uid="{00000000-000D-0000-FFFF-FFFF00000000}"/>
  </bookViews>
  <sheets>
    <sheet name="Cover &amp; Checks" sheetId="1" r:id="rId1"/>
    <sheet name="Historicals" sheetId="2" r:id="rId2"/>
    <sheet name="Analysis" sheetId="3" r:id="rId3"/>
    <sheet name="Assumptions" sheetId="4" r:id="rId4"/>
    <sheet name="FY25 Plan vs Actual" sheetId="5" r:id="rId5"/>
    <sheet name="Scenarios" sheetId="6" r:id="rId6"/>
    <sheet name="IS Forecast" sheetId="7" r:id="rId7"/>
    <sheet name="BS Forecast" sheetId="8" r:id="rId8"/>
    <sheet name="CF Forecast" sheetId="9" r:id="rId9"/>
    <sheet name="H1 2026 Checkpoint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0" l="1"/>
  <c r="B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G9" i="10"/>
  <c r="F9" i="10"/>
  <c r="E9" i="10"/>
  <c r="D9" i="10"/>
  <c r="G8" i="10"/>
  <c r="F8" i="10"/>
  <c r="E8" i="10"/>
  <c r="D8" i="10"/>
  <c r="G7" i="10"/>
  <c r="F7" i="10"/>
  <c r="E7" i="10"/>
  <c r="D7" i="10"/>
  <c r="G6" i="10"/>
  <c r="F6" i="10"/>
  <c r="E6" i="10"/>
  <c r="D6" i="10"/>
  <c r="G5" i="10"/>
  <c r="F5" i="10"/>
  <c r="E5" i="10"/>
  <c r="D5" i="10"/>
  <c r="D21" i="9"/>
  <c r="C21" i="9"/>
  <c r="B21" i="9"/>
  <c r="D20" i="9"/>
  <c r="D22" i="9" s="1"/>
  <c r="C20" i="9"/>
  <c r="C22" i="9" s="1"/>
  <c r="B20" i="9"/>
  <c r="C18" i="9"/>
  <c r="B18" i="9"/>
  <c r="B17" i="9"/>
  <c r="D7" i="9"/>
  <c r="C7" i="9"/>
  <c r="B7" i="9"/>
  <c r="B6" i="9"/>
  <c r="B31" i="8"/>
  <c r="B30" i="8"/>
  <c r="C30" i="8" s="1"/>
  <c r="D30" i="8" s="1"/>
  <c r="B29" i="8"/>
  <c r="B25" i="8"/>
  <c r="C25" i="8" s="1"/>
  <c r="D25" i="8" s="1"/>
  <c r="B24" i="8"/>
  <c r="B23" i="8"/>
  <c r="B22" i="8"/>
  <c r="B21" i="8"/>
  <c r="B20" i="8"/>
  <c r="B26" i="8" s="1"/>
  <c r="B17" i="8"/>
  <c r="C16" i="8"/>
  <c r="D16" i="8" s="1"/>
  <c r="B16" i="8"/>
  <c r="B15" i="8"/>
  <c r="B14" i="8"/>
  <c r="C14" i="8" s="1"/>
  <c r="D14" i="8" s="1"/>
  <c r="B13" i="8"/>
  <c r="C12" i="8"/>
  <c r="D12" i="8" s="1"/>
  <c r="D18" i="9" s="1"/>
  <c r="B12" i="8"/>
  <c r="B11" i="8"/>
  <c r="C11" i="8" s="1"/>
  <c r="D11" i="8" s="1"/>
  <c r="B10" i="8"/>
  <c r="B9" i="8"/>
  <c r="B8" i="8"/>
  <c r="B7" i="8"/>
  <c r="C25" i="9" s="1"/>
  <c r="C35" i="7"/>
  <c r="B31" i="7"/>
  <c r="D29" i="7"/>
  <c r="E29" i="7" s="1"/>
  <c r="B29" i="7"/>
  <c r="F27" i="7"/>
  <c r="D27" i="7"/>
  <c r="C27" i="7"/>
  <c r="E27" i="7" s="1"/>
  <c r="B27" i="7"/>
  <c r="C26" i="7"/>
  <c r="B26" i="7"/>
  <c r="D25" i="7"/>
  <c r="C25" i="7"/>
  <c r="E25" i="7" s="1"/>
  <c r="C6" i="9" s="1"/>
  <c r="B25" i="7"/>
  <c r="D24" i="7"/>
  <c r="C24" i="7"/>
  <c r="E24" i="7" s="1"/>
  <c r="F24" i="7" s="1"/>
  <c r="B24" i="7"/>
  <c r="C23" i="7"/>
  <c r="B23" i="7"/>
  <c r="C22" i="7"/>
  <c r="B22" i="7"/>
  <c r="C21" i="7"/>
  <c r="B21" i="7"/>
  <c r="C20" i="7"/>
  <c r="B20" i="7"/>
  <c r="C19" i="7"/>
  <c r="B16" i="7"/>
  <c r="C15" i="7"/>
  <c r="B15" i="7"/>
  <c r="C13" i="7"/>
  <c r="C14" i="7" s="1"/>
  <c r="D14" i="7" s="1"/>
  <c r="B8" i="7"/>
  <c r="B7" i="7"/>
  <c r="E15" i="6"/>
  <c r="E14" i="6"/>
  <c r="E13" i="6"/>
  <c r="E12" i="6"/>
  <c r="E11" i="6"/>
  <c r="E10" i="6"/>
  <c r="F8" i="7" s="1"/>
  <c r="E9" i="6"/>
  <c r="E8" i="7" s="1"/>
  <c r="E8" i="6"/>
  <c r="F15" i="7" s="1"/>
  <c r="E7" i="6"/>
  <c r="D15" i="7" s="1"/>
  <c r="C4" i="6"/>
  <c r="B48" i="5"/>
  <c r="B47" i="5"/>
  <c r="B11" i="5" s="1"/>
  <c r="E11" i="5" s="1"/>
  <c r="B39" i="5"/>
  <c r="B35" i="5"/>
  <c r="B33" i="5"/>
  <c r="B36" i="5" s="1"/>
  <c r="B31" i="5"/>
  <c r="B30" i="5"/>
  <c r="B32" i="5" s="1"/>
  <c r="B25" i="5"/>
  <c r="B23" i="5"/>
  <c r="B22" i="5"/>
  <c r="C16" i="5"/>
  <c r="C15" i="5"/>
  <c r="D15" i="5" s="1"/>
  <c r="B15" i="5"/>
  <c r="E15" i="5" s="1"/>
  <c r="C13" i="5"/>
  <c r="D13" i="5" s="1"/>
  <c r="G13" i="5" s="1"/>
  <c r="B13" i="5"/>
  <c r="E13" i="5" s="1"/>
  <c r="G12" i="5"/>
  <c r="C12" i="5"/>
  <c r="C11" i="5"/>
  <c r="D11" i="5" s="1"/>
  <c r="G11" i="5" s="1"/>
  <c r="C10" i="5"/>
  <c r="B10" i="5"/>
  <c r="C9" i="5"/>
  <c r="C8" i="5"/>
  <c r="C7" i="5"/>
  <c r="C6" i="5"/>
  <c r="D20" i="4"/>
  <c r="D19" i="4"/>
  <c r="D18" i="4"/>
  <c r="D15" i="4"/>
  <c r="D10" i="4"/>
  <c r="D9" i="4"/>
  <c r="B37" i="5" s="1"/>
  <c r="D6" i="4"/>
  <c r="D31" i="3"/>
  <c r="C31" i="3"/>
  <c r="B31" i="3"/>
  <c r="D30" i="3"/>
  <c r="C30" i="3"/>
  <c r="B30" i="3"/>
  <c r="D28" i="3"/>
  <c r="C28" i="3"/>
  <c r="B28" i="3"/>
  <c r="D27" i="3"/>
  <c r="C27" i="3"/>
  <c r="B27" i="3"/>
  <c r="D23" i="3"/>
  <c r="C23" i="3"/>
  <c r="B23" i="3"/>
  <c r="D22" i="3"/>
  <c r="C22" i="3"/>
  <c r="B22" i="3"/>
  <c r="D21" i="3"/>
  <c r="C21" i="3"/>
  <c r="B21" i="3"/>
  <c r="B7" i="3"/>
  <c r="D100" i="2"/>
  <c r="C100" i="2"/>
  <c r="B100" i="2"/>
  <c r="D88" i="2"/>
  <c r="C88" i="2"/>
  <c r="C25" i="1" s="1"/>
  <c r="B88" i="2"/>
  <c r="B25" i="1" s="1"/>
  <c r="D84" i="2"/>
  <c r="C84" i="2"/>
  <c r="C24" i="1" s="1"/>
  <c r="B84" i="2"/>
  <c r="B24" i="1" s="1"/>
  <c r="D61" i="2"/>
  <c r="C61" i="2"/>
  <c r="B61" i="2"/>
  <c r="D56" i="2"/>
  <c r="D22" i="1" s="1"/>
  <c r="C56" i="2"/>
  <c r="C22" i="1" s="1"/>
  <c r="B56" i="2"/>
  <c r="B22" i="1" s="1"/>
  <c r="E22" i="1" s="1"/>
  <c r="D46" i="2"/>
  <c r="D50" i="2" s="1"/>
  <c r="D57" i="2" s="1"/>
  <c r="C46" i="2"/>
  <c r="C50" i="2" s="1"/>
  <c r="C57" i="2" s="1"/>
  <c r="B46" i="2"/>
  <c r="B50" i="2" s="1"/>
  <c r="B57" i="2" s="1"/>
  <c r="D32" i="2"/>
  <c r="D39" i="2" s="1"/>
  <c r="C32" i="2"/>
  <c r="C39" i="2" s="1"/>
  <c r="B32" i="2"/>
  <c r="B39" i="2" s="1"/>
  <c r="D18" i="2"/>
  <c r="C18" i="2"/>
  <c r="B18" i="2"/>
  <c r="D9" i="2"/>
  <c r="C9" i="2"/>
  <c r="B9" i="2"/>
  <c r="C30" i="1"/>
  <c r="B30" i="1"/>
  <c r="C29" i="1"/>
  <c r="B29" i="1"/>
  <c r="B28" i="1"/>
  <c r="D27" i="1"/>
  <c r="C27" i="1"/>
  <c r="B27" i="1"/>
  <c r="E27" i="1" s="1"/>
  <c r="D26" i="1"/>
  <c r="C26" i="1"/>
  <c r="B26" i="1"/>
  <c r="E26" i="1" s="1"/>
  <c r="D10" i="5" l="1"/>
  <c r="C15" i="10"/>
  <c r="G14" i="10"/>
  <c r="E14" i="10"/>
  <c r="D14" i="10"/>
  <c r="B15" i="10"/>
  <c r="F14" i="10"/>
  <c r="B32" i="8"/>
  <c r="B33" i="8" s="1"/>
  <c r="B35" i="8" s="1"/>
  <c r="C29" i="8"/>
  <c r="C36" i="7"/>
  <c r="C28" i="7"/>
  <c r="E7" i="7"/>
  <c r="E9" i="7"/>
  <c r="F26" i="7"/>
  <c r="D17" i="9"/>
  <c r="D19" i="9" s="1"/>
  <c r="C17" i="9"/>
  <c r="D8" i="7"/>
  <c r="D26" i="7" s="1"/>
  <c r="E26" i="7" s="1"/>
  <c r="G8" i="5"/>
  <c r="B38" i="5"/>
  <c r="B45" i="5"/>
  <c r="F12" i="5"/>
  <c r="B12" i="5"/>
  <c r="D19" i="3"/>
  <c r="D20" i="3"/>
  <c r="B9" i="7"/>
  <c r="C19" i="3"/>
  <c r="C20" i="3"/>
  <c r="B44" i="5"/>
  <c r="B20" i="3"/>
  <c r="B19" i="3"/>
  <c r="B22" i="9"/>
  <c r="D25" i="1"/>
  <c r="E25" i="1" s="1"/>
  <c r="B19" i="9"/>
  <c r="D24" i="1"/>
  <c r="E24" i="1" s="1"/>
  <c r="D16" i="1"/>
  <c r="D21" i="1"/>
  <c r="C16" i="1"/>
  <c r="C21" i="1"/>
  <c r="B16" i="1"/>
  <c r="E16" i="1" s="1"/>
  <c r="B21" i="1"/>
  <c r="D12" i="7"/>
  <c r="D19" i="7" s="1"/>
  <c r="C5" i="5"/>
  <c r="D29" i="3"/>
  <c r="D10" i="3"/>
  <c r="D26" i="3"/>
  <c r="D19" i="2"/>
  <c r="D13" i="3"/>
  <c r="D12" i="3"/>
  <c r="D9" i="3"/>
  <c r="D7" i="3"/>
  <c r="D11" i="3"/>
  <c r="D8" i="3"/>
  <c r="B19" i="7"/>
  <c r="B36" i="7" s="1"/>
  <c r="D18" i="1"/>
  <c r="C11" i="3"/>
  <c r="C19" i="2"/>
  <c r="C10" i="3"/>
  <c r="C9" i="3"/>
  <c r="C8" i="3"/>
  <c r="C7" i="3"/>
  <c r="D14" i="4"/>
  <c r="C29" i="3"/>
  <c r="C26" i="3"/>
  <c r="C13" i="3"/>
  <c r="C12" i="3"/>
  <c r="C18" i="1"/>
  <c r="B19" i="2"/>
  <c r="B13" i="3"/>
  <c r="B29" i="3"/>
  <c r="B26" i="3"/>
  <c r="B8" i="3"/>
  <c r="B10" i="3"/>
  <c r="B9" i="3"/>
  <c r="B12" i="3"/>
  <c r="B11" i="3"/>
  <c r="B18" i="1"/>
  <c r="E18" i="1" s="1"/>
  <c r="E10" i="5" l="1"/>
  <c r="G10" i="5"/>
  <c r="D29" i="8"/>
  <c r="C30" i="7"/>
  <c r="C32" i="7" s="1"/>
  <c r="C37" i="7"/>
  <c r="C15" i="8"/>
  <c r="D15" i="8" s="1"/>
  <c r="C24" i="8"/>
  <c r="F7" i="7"/>
  <c r="F9" i="7"/>
  <c r="F22" i="7" s="1"/>
  <c r="D7" i="7"/>
  <c r="D9" i="7" s="1"/>
  <c r="D22" i="7" s="1"/>
  <c r="E22" i="7" s="1"/>
  <c r="C13" i="8"/>
  <c r="C19" i="9"/>
  <c r="B40" i="5"/>
  <c r="B24" i="5"/>
  <c r="D12" i="5"/>
  <c r="E12" i="5"/>
  <c r="E19" i="7"/>
  <c r="D20" i="7"/>
  <c r="E20" i="7" s="1"/>
  <c r="D21" i="7"/>
  <c r="E21" i="7" s="1"/>
  <c r="C21" i="8" s="1"/>
  <c r="C12" i="9" s="1"/>
  <c r="D28" i="7"/>
  <c r="D23" i="7"/>
  <c r="E23" i="7" s="1"/>
  <c r="D35" i="7"/>
  <c r="D36" i="7"/>
  <c r="D21" i="2"/>
  <c r="D14" i="3"/>
  <c r="C14" i="5"/>
  <c r="B28" i="7"/>
  <c r="D19" i="1"/>
  <c r="C21" i="2"/>
  <c r="C14" i="3"/>
  <c r="C19" i="1"/>
  <c r="B21" i="2"/>
  <c r="B14" i="3"/>
  <c r="B19" i="1"/>
  <c r="E19" i="1" s="1"/>
  <c r="B8" i="5"/>
  <c r="E21" i="1"/>
  <c r="D13" i="4"/>
  <c r="F8" i="5"/>
  <c r="C15" i="9" l="1"/>
  <c r="D24" i="8"/>
  <c r="D15" i="9" s="1"/>
  <c r="F25" i="7"/>
  <c r="D6" i="9" s="1"/>
  <c r="D13" i="8"/>
  <c r="B5" i="5"/>
  <c r="B21" i="5"/>
  <c r="B26" i="5" s="1"/>
  <c r="B27" i="5" s="1"/>
  <c r="D30" i="1" s="1"/>
  <c r="E30" i="1" s="1"/>
  <c r="C23" i="8"/>
  <c r="C14" i="9" s="1"/>
  <c r="C22" i="8"/>
  <c r="C13" i="9" s="1"/>
  <c r="C10" i="8"/>
  <c r="C10" i="9" s="1"/>
  <c r="C8" i="8"/>
  <c r="C8" i="9" s="1"/>
  <c r="E36" i="7"/>
  <c r="E35" i="7"/>
  <c r="E28" i="7"/>
  <c r="F19" i="7"/>
  <c r="C20" i="8"/>
  <c r="C9" i="8"/>
  <c r="C9" i="9" s="1"/>
  <c r="D30" i="7"/>
  <c r="D37" i="7"/>
  <c r="D23" i="2"/>
  <c r="D15" i="3"/>
  <c r="C18" i="5"/>
  <c r="B30" i="7"/>
  <c r="B32" i="7" s="1"/>
  <c r="B37" i="7"/>
  <c r="C23" i="2"/>
  <c r="C15" i="3"/>
  <c r="B23" i="2"/>
  <c r="B15" i="3"/>
  <c r="D8" i="5"/>
  <c r="E8" i="5"/>
  <c r="D5" i="5" l="1"/>
  <c r="E5" i="5" s="1"/>
  <c r="B6" i="5"/>
  <c r="B7" i="5"/>
  <c r="B9" i="5"/>
  <c r="E30" i="7"/>
  <c r="E32" i="7" s="1"/>
  <c r="E37" i="7"/>
  <c r="F20" i="7"/>
  <c r="F21" i="7"/>
  <c r="D21" i="8" s="1"/>
  <c r="D12" i="9" s="1"/>
  <c r="F23" i="7"/>
  <c r="F35" i="7"/>
  <c r="D8" i="8"/>
  <c r="D8" i="9" s="1"/>
  <c r="D10" i="8"/>
  <c r="D10" i="9" s="1"/>
  <c r="D23" i="8"/>
  <c r="D14" i="9" s="1"/>
  <c r="D22" i="8"/>
  <c r="D13" i="9" s="1"/>
  <c r="C26" i="8"/>
  <c r="C11" i="9"/>
  <c r="D31" i="7"/>
  <c r="E31" i="7" s="1"/>
  <c r="D32" i="7"/>
  <c r="D60" i="2"/>
  <c r="D79" i="2" s="1"/>
  <c r="D16" i="3"/>
  <c r="C17" i="5"/>
  <c r="B5" i="9"/>
  <c r="D20" i="1"/>
  <c r="C60" i="2"/>
  <c r="C79" i="2" s="1"/>
  <c r="C16" i="3"/>
  <c r="C20" i="1"/>
  <c r="B60" i="2"/>
  <c r="B79" i="2" s="1"/>
  <c r="B16" i="3"/>
  <c r="B20" i="1"/>
  <c r="E20" i="1" s="1"/>
  <c r="B14" i="5" l="1"/>
  <c r="G6" i="5"/>
  <c r="F19" i="5" s="1"/>
  <c r="D29" i="1" s="1"/>
  <c r="E29" i="1" s="1"/>
  <c r="D6" i="5"/>
  <c r="E6" i="5"/>
  <c r="F6" i="5"/>
  <c r="G7" i="5"/>
  <c r="D7" i="5"/>
  <c r="E7" i="5" s="1"/>
  <c r="F7" i="5"/>
  <c r="D9" i="5"/>
  <c r="E9" i="5" s="1"/>
  <c r="G9" i="5"/>
  <c r="F9" i="5"/>
  <c r="C31" i="8"/>
  <c r="C5" i="9"/>
  <c r="C16" i="9" s="1"/>
  <c r="D9" i="8"/>
  <c r="D9" i="9" s="1"/>
  <c r="D20" i="8"/>
  <c r="B16" i="9"/>
  <c r="B28" i="9" s="1"/>
  <c r="D23" i="1"/>
  <c r="D32" i="3"/>
  <c r="D33" i="3"/>
  <c r="D34" i="3"/>
  <c r="D90" i="2"/>
  <c r="D92" i="2" s="1"/>
  <c r="D17" i="1" s="1"/>
  <c r="C90" i="2"/>
  <c r="C92" i="2" s="1"/>
  <c r="C17" i="1" s="1"/>
  <c r="C23" i="1"/>
  <c r="C32" i="3"/>
  <c r="C33" i="3"/>
  <c r="C34" i="3"/>
  <c r="B32" i="3"/>
  <c r="B33" i="3"/>
  <c r="B34" i="3"/>
  <c r="B90" i="2"/>
  <c r="B92" i="2" s="1"/>
  <c r="B17" i="1" s="1"/>
  <c r="B23" i="1"/>
  <c r="F28" i="7"/>
  <c r="F36" i="7"/>
  <c r="E17" i="1" l="1"/>
  <c r="E23" i="1"/>
  <c r="D14" i="5"/>
  <c r="E14" i="5"/>
  <c r="B16" i="5"/>
  <c r="B17" i="5" s="1"/>
  <c r="B18" i="5"/>
  <c r="D18" i="5" s="1"/>
  <c r="D16" i="5"/>
  <c r="E16" i="5" s="1"/>
  <c r="D17" i="5"/>
  <c r="E17" i="5" s="1"/>
  <c r="C32" i="8"/>
  <c r="C33" i="8" s="1"/>
  <c r="C28" i="9"/>
  <c r="C24" i="9"/>
  <c r="C26" i="9" s="1"/>
  <c r="D26" i="8"/>
  <c r="D11" i="9"/>
  <c r="F37" i="7"/>
  <c r="D25" i="9" l="1"/>
  <c r="C7" i="8"/>
  <c r="C17" i="8" l="1"/>
  <c r="C35" i="8" s="1"/>
  <c r="C28" i="1" s="1"/>
  <c r="F29" i="7"/>
  <c r="F30" i="7" s="1"/>
  <c r="F31" i="7" l="1"/>
  <c r="F32" i="7" s="1"/>
  <c r="D31" i="8" l="1"/>
  <c r="D32" i="8" s="1"/>
  <c r="D33" i="8" s="1"/>
  <c r="D5" i="9"/>
  <c r="D16" i="9" s="1"/>
  <c r="D24" i="9" l="1"/>
  <c r="D26" i="9" s="1"/>
  <c r="D7" i="8" s="1"/>
  <c r="D17" i="8" s="1"/>
  <c r="D35" i="8" s="1"/>
  <c r="D28" i="1" s="1"/>
  <c r="E28" i="1" s="1"/>
  <c r="E32" i="1" s="1"/>
  <c r="D28" i="9"/>
</calcChain>
</file>

<file path=xl/sharedStrings.xml><?xml version="1.0" encoding="utf-8"?>
<sst xmlns="http://schemas.openxmlformats.org/spreadsheetml/2006/main" count="688" uniqueCount="414">
  <si>
    <t>CMG — FY25 Plan vs Actual and FY26–27 Forecast</t>
  </si>
  <si>
    <t>Built from public filings. FY25 plan is my own (not company budget). $000.</t>
  </si>
  <si>
    <t>Blue = typed from filings, black = formula</t>
  </si>
  <si>
    <t>Sources</t>
  </si>
  <si>
    <t>FY24 8-K (Feb 4, 2025): https://ir.chipotle.com/2025-02-04-CHIPOTLE-ANNOUNCES-FOURTH-QUARTER-AND-FULL-YEAR-2024-RESULTS</t>
  </si>
  <si>
    <t>FY25 8-K (Feb 3, 2026): https://ir.chipotle.com/2026-02-03-CHIPOTLE-ANNOUNCES-FOURTH-QUARTER-AND-FULL-YEAR-2025-RESULTS</t>
  </si>
  <si>
    <t>FY23–24 tied to 10-Ks. FY25 from 8-K, 10-K tie-out pending.</t>
  </si>
  <si>
    <t>Model check</t>
  </si>
  <si>
    <t>FY2023</t>
  </si>
  <si>
    <t>FY2024</t>
  </si>
  <si>
    <t>FY2025</t>
  </si>
  <si>
    <t>Status</t>
  </si>
  <si>
    <t>Balance sheet balances (assets − liabilities − equity)</t>
  </si>
  <si>
    <t>BS cash + restricted cash − CF ending cash</t>
  </si>
  <si>
    <t>Revenue ties to filing (model − reported)</t>
  </si>
  <si>
    <t>Operating income ties to filing</t>
  </si>
  <si>
    <t>Net income ties to filing</t>
  </si>
  <si>
    <t>Total assets tie to filing</t>
  </si>
  <si>
    <t>Total equity ties to filing</t>
  </si>
  <si>
    <t>Cash from operations ties to filing</t>
  </si>
  <si>
    <t>Cash from investing ties to filing</t>
  </si>
  <si>
    <t>Cash from financing ties to filing</t>
  </si>
  <si>
    <t>Restaurant roll-forward (start + open + close + reloc − end)</t>
  </si>
  <si>
    <t>Comps = transactions + average check (percentage points × 100)</t>
  </si>
  <si>
    <t>Forecast balance sheet balances (C = FY26E, D = FY27E)</t>
  </si>
  <si>
    <t>FY25 cost variance: volume + rate = total (FY2025 column)</t>
  </si>
  <si>
    <t>FY25 revenue bridge ties to actual revenue (FY2025 column)</t>
  </si>
  <si>
    <t>OVERALL MODEL STATUS</t>
  </si>
  <si>
    <t>CMG Historicals</t>
  </si>
  <si>
    <t>$000 as filed</t>
  </si>
  <si>
    <t>Line item</t>
  </si>
  <si>
    <t>Type</t>
  </si>
  <si>
    <t>Source</t>
  </si>
  <si>
    <t>INCOME STATEMENT</t>
  </si>
  <si>
    <t>Food and beverage revenue</t>
  </si>
  <si>
    <t>Reported</t>
  </si>
  <si>
    <t>10-K / FY25 8-K</t>
  </si>
  <si>
    <t>Delivery service revenue</t>
  </si>
  <si>
    <t>Total revenue</t>
  </si>
  <si>
    <t>Derived</t>
  </si>
  <si>
    <t>Food, beverage and packaging</t>
  </si>
  <si>
    <t>Labor</t>
  </si>
  <si>
    <t>Occupancy</t>
  </si>
  <si>
    <t>Other operating costs</t>
  </si>
  <si>
    <t>General and administrative</t>
  </si>
  <si>
    <t>Depreciation and amortization</t>
  </si>
  <si>
    <t>Pre-opening costs</t>
  </si>
  <si>
    <t>Impairment, closure costs, and asset disposals</t>
  </si>
  <si>
    <t>Total operating expenses</t>
  </si>
  <si>
    <t>Income from operations</t>
  </si>
  <si>
    <t>Interest and other income, net</t>
  </si>
  <si>
    <t>Income before income taxes</t>
  </si>
  <si>
    <t>Provision for income taxes</t>
  </si>
  <si>
    <t>Net income</t>
  </si>
  <si>
    <t>BALANCE SHEET (December 31)</t>
  </si>
  <si>
    <t>Cash and cash equivalents</t>
  </si>
  <si>
    <t>Accounts receivable, net</t>
  </si>
  <si>
    <t>Inventory</t>
  </si>
  <si>
    <t>Prepaid expenses and other current assets</t>
  </si>
  <si>
    <t>Income tax receivable</t>
  </si>
  <si>
    <t>Investments (short-term)</t>
  </si>
  <si>
    <t>Total current assets</t>
  </si>
  <si>
    <t>Leasehold improvements, property and equipment, net</t>
  </si>
  <si>
    <t>Long-term investments</t>
  </si>
  <si>
    <t>Restricted cash</t>
  </si>
  <si>
    <t>Operating lease assets</t>
  </si>
  <si>
    <t>Other assets</t>
  </si>
  <si>
    <t>Goodwill</t>
  </si>
  <si>
    <t>Total assets</t>
  </si>
  <si>
    <t>Accounts payable</t>
  </si>
  <si>
    <t>Accrued payroll and benefits</t>
  </si>
  <si>
    <t>Accrued liabilities</t>
  </si>
  <si>
    <t>Unearned revenue (mostly gift cards)</t>
  </si>
  <si>
    <t>Current operating lease liabilities</t>
  </si>
  <si>
    <t>Total current liabilities</t>
  </si>
  <si>
    <t>Long-term operating lease liabilities</t>
  </si>
  <si>
    <t>Deferred income tax liabilities</t>
  </si>
  <si>
    <t>Other liabilities</t>
  </si>
  <si>
    <t>Total liabilities</t>
  </si>
  <si>
    <t>Common stock</t>
  </si>
  <si>
    <t>Additional paid-in capital</t>
  </si>
  <si>
    <t>Treasury stock</t>
  </si>
  <si>
    <t>10-K (retired 2024)</t>
  </si>
  <si>
    <t>Accumulated other comprehensive loss</t>
  </si>
  <si>
    <t>Retained earnings</t>
  </si>
  <si>
    <t>Total shareholders' equity</t>
  </si>
  <si>
    <t>Total liabilities and equity</t>
  </si>
  <si>
    <t>CASH FLOW STATEMENT</t>
  </si>
  <si>
    <t>Link</t>
  </si>
  <si>
    <t>Deferred income tax provision</t>
  </si>
  <si>
    <t>Provision for credit losses</t>
  </si>
  <si>
    <t>Stock-based compensation</t>
  </si>
  <si>
    <t>Other</t>
  </si>
  <si>
    <t>Change: accounts receivable</t>
  </si>
  <si>
    <t>Change: inventory</t>
  </si>
  <si>
    <t>Change: prepaid and other current assets</t>
  </si>
  <si>
    <t>Change: operating lease assets</t>
  </si>
  <si>
    <t>Change: other assets</t>
  </si>
  <si>
    <t>Change: accounts payable</t>
  </si>
  <si>
    <t>Change: accrued payroll and benefits</t>
  </si>
  <si>
    <t>Change: accrued liabilities</t>
  </si>
  <si>
    <t>Change: unearned revenue</t>
  </si>
  <si>
    <t>Change: income tax payable/receivable</t>
  </si>
  <si>
    <t>Change: operating lease liabilities</t>
  </si>
  <si>
    <t>Change: other long-term liabilities</t>
  </si>
  <si>
    <t>Cash from operating activities</t>
  </si>
  <si>
    <t>Capital expenditures (leasehold improvements, P&amp;E)</t>
  </si>
  <si>
    <t>Purchases of investments</t>
  </si>
  <si>
    <t>Maturities of investments</t>
  </si>
  <si>
    <t>Proceeds from sale of equipment</t>
  </si>
  <si>
    <t>Cash from investing activities</t>
  </si>
  <si>
    <t>Repurchase of common stock</t>
  </si>
  <si>
    <t>Tax withholding on stock awards</t>
  </si>
  <si>
    <t>Other financing activities</t>
  </si>
  <si>
    <t>Cash from financing activities</t>
  </si>
  <si>
    <t>Effect of exchange rates</t>
  </si>
  <si>
    <t>Net change in cash (incl. restricted)</t>
  </si>
  <si>
    <t>Cash at beginning of year (incl. restricted)</t>
  </si>
  <si>
    <t>Cash at end of year (incl. restricted)</t>
  </si>
  <si>
    <t>OPERATING KPIs (company-owned restaurants)</t>
  </si>
  <si>
    <t>Restaurants at start of year</t>
  </si>
  <si>
    <t>10-K MD&amp;A</t>
  </si>
  <si>
    <t>Restaurants opened</t>
  </si>
  <si>
    <t>Permanent closures</t>
  </si>
  <si>
    <t>10-K MD&amp;A (FY23 incl. 6 non-Chipotle)</t>
  </si>
  <si>
    <t>Relocations</t>
  </si>
  <si>
    <t>Restaurants at end of year</t>
  </si>
  <si>
    <t>FY25 8-K</t>
  </si>
  <si>
    <t>Average restaurant count (derived)</t>
  </si>
  <si>
    <t>Average restaurant sales ($000, trailing 12 months)</t>
  </si>
  <si>
    <t>Comparable restaurant sales growth</t>
  </si>
  <si>
    <t>10-K MD&amp;A / FY25 8-K</t>
  </si>
  <si>
    <t xml:space="preserve">  of which: transactions</t>
  </si>
  <si>
    <t xml:space="preserve">  of which: average check</t>
  </si>
  <si>
    <t xml:space="preserve">     menu price increase</t>
  </si>
  <si>
    <t xml:space="preserve">     check mix</t>
  </si>
  <si>
    <t>FY25 menu price / mix: need FY25 10-K</t>
  </si>
  <si>
    <t>Historical Analysis</t>
  </si>
  <si>
    <t>$000 unless noted</t>
  </si>
  <si>
    <t>Metric</t>
  </si>
  <si>
    <t>Notes</t>
  </si>
  <si>
    <t>GROWTH &amp; MARGINS</t>
  </si>
  <si>
    <t>Revenue growth</t>
  </si>
  <si>
    <t>Food, beverage &amp; packaging % of revenue</t>
  </si>
  <si>
    <t>Labor % of revenue</t>
  </si>
  <si>
    <t>Occupancy % of revenue</t>
  </si>
  <si>
    <t>Other operating costs % of revenue</t>
  </si>
  <si>
    <t>Restaurant-level margin (non-GAAP)</t>
  </si>
  <si>
    <t>G&amp;A % of revenue</t>
  </si>
  <si>
    <t>Operating margin</t>
  </si>
  <si>
    <t>Effective tax rate</t>
  </si>
  <si>
    <t>Net margin</t>
  </si>
  <si>
    <t>UNIT ECONOMICS</t>
  </si>
  <si>
    <t>Revenue per average restaurant ($000)</t>
  </si>
  <si>
    <t>Occupancy per average restaurant ($000)</t>
  </si>
  <si>
    <t>Pre-opening cost per opening ($000)</t>
  </si>
  <si>
    <t>Capex per opening ($000, all-in incl. maintenance)</t>
  </si>
  <si>
    <t>Comps check: transactions + average check</t>
  </si>
  <si>
    <t>WORKING CAPITAL &amp; CASH</t>
  </si>
  <si>
    <t>Receivable days (DSO)</t>
  </si>
  <si>
    <t>Inventory days (on food cost)</t>
  </si>
  <si>
    <t>Payable days (on food cost)</t>
  </si>
  <si>
    <t>Unearned revenue % of revenue</t>
  </si>
  <si>
    <t>Operating working capital ($000)</t>
  </si>
  <si>
    <t>D&amp;A % of beginning PP&amp;E</t>
  </si>
  <si>
    <t>Cash conversion (CFO / net income)</t>
  </si>
  <si>
    <t>Free cash flow ($000) = CFO + capex</t>
  </si>
  <si>
    <t>Share buybacks as % of free cash flow</t>
  </si>
  <si>
    <t>Assumptions &amp; Management Guidance</t>
  </si>
  <si>
    <t>Blue = guidance (reported), yellow = assumption</t>
  </si>
  <si>
    <t>Driver</t>
  </si>
  <si>
    <t>Low</t>
  </si>
  <si>
    <t>High</t>
  </si>
  <si>
    <t>Model value</t>
  </si>
  <si>
    <t>Source / reasoning</t>
  </si>
  <si>
    <t>FY25 PLAN (as of Feb 4, 2025)</t>
  </si>
  <si>
    <t>Comp sales growth (guided low-mid single digits)</t>
  </si>
  <si>
    <t>Assumed</t>
  </si>
  <si>
    <t>3.5% = middle of guidance; growth slowing (FY23 7.9%, FY24 7.4%, Q4'24 5.4%)</t>
  </si>
  <si>
    <t xml:space="preserve">  Transactions growth</t>
  </si>
  <si>
    <t>Return-to-office mandates (e.g. Amazon, federal govt, Jan 2025) should help lunch traffic; below FY24's 5.3%</t>
  </si>
  <si>
    <t xml:space="preserve">  Average check growth</t>
  </si>
  <si>
    <t>Price growth slowing: check +2.1% FY24, +1.4% Q4'24</t>
  </si>
  <si>
    <t>New company-owned restaurant openings</t>
  </si>
  <si>
    <t>Feb 2025 guidance</t>
  </si>
  <si>
    <t>Underlying effective tax rate</t>
  </si>
  <si>
    <t>Q4'24 exit rate (30.4%); food inflation rising into 2025</t>
  </si>
  <si>
    <t>Q4'24 exit rate (25.2%); wage inflation. Cautious - Q4 is a lower-sales quarter</t>
  </si>
  <si>
    <t>FY24 rent per average restaurant + 3%</t>
  </si>
  <si>
    <t>Same as FY24</t>
  </si>
  <si>
    <t>G&amp;A ($000)</t>
  </si>
  <si>
    <t>FY24 + 5%</t>
  </si>
  <si>
    <t>FY26 GUIDANCE</t>
  </si>
  <si>
    <t>Comparable sales growth ('about flat')</t>
  </si>
  <si>
    <t>Feb 2026 guidance (raised Jul 2026)</t>
  </si>
  <si>
    <t>New restaurant openings (incl. 10–15 partner-operated)</t>
  </si>
  <si>
    <t>Feb 2026 guidance</t>
  </si>
  <si>
    <t>FY25 Plan vs Actual</t>
  </si>
  <si>
    <t>$000. Plan uses info available as of Feb 4, 2025 only. Variance = actual - plan (for costs, positive = spent more than plan).</t>
  </si>
  <si>
    <t>Line ($000)</t>
  </si>
  <si>
    <t>Plan</t>
  </si>
  <si>
    <t>Actual</t>
  </si>
  <si>
    <t>Variance $</t>
  </si>
  <si>
    <t>Variance %</t>
  </si>
  <si>
    <t>Volume effect</t>
  </si>
  <si>
    <t>Rate effect</t>
  </si>
  <si>
    <t>Sales missed by $573M mainly because fewer customers came in ($551M): visits fell 2.9% vs my plan of +2%. Customers were cutting back on eating out due to economic pressure; the decline started in Q1 2025 and lasted all year. Even after the CEO spoke about returning to transaction growth in Q3, visits were still down 3.2% in Q4.</t>
  </si>
  <si>
    <t>Food cost was $260M below plan. $174M is just lower sales (fewer burritos, fewer ingredients). The other $86M is real: food ran 29.6% of sales vs my 30.3% plan, because menu price increases and efficiencies more than offset beef and chicken inflation.</t>
  </si>
  <si>
    <t>Other operating costs look close to plan (+$23M), but per dollar of sales they ran $103M above plan (14.7% vs 13.9%); lower sales hid it. Likely causes: fixed restaurant costs spread over lower sales, and more marketing and promotions to win customers back (to confirm in FY25 10-K).</t>
  </si>
  <si>
    <t>Impairment, closure costs</t>
  </si>
  <si>
    <t>Interest and other income</t>
  </si>
  <si>
    <t>Check: vol + rate - variance</t>
  </si>
  <si>
    <t>REVENUE BRIDGE: Plan -&gt; Actual</t>
  </si>
  <si>
    <t>Plan revenue</t>
  </si>
  <si>
    <t>Traffic effect (transactions vs plan)</t>
  </si>
  <si>
    <t>FY24 sales x (actual - plan transaction growth)</t>
  </si>
  <si>
    <t>Average check effect (vs plan)</t>
  </si>
  <si>
    <t>FY24 sales x (actual - plan check growth)</t>
  </si>
  <si>
    <t>New restaurants &amp; other (residual)</t>
  </si>
  <si>
    <t>Plug: actual revenue not explained by comps, minus plan new-unit revenue. Includes gift-card breakage, closures, timing</t>
  </si>
  <si>
    <t>Delivery revenue effect</t>
  </si>
  <si>
    <t>Actual revenue (bridge)</t>
  </si>
  <si>
    <t>Check: bridge - reported actual</t>
  </si>
  <si>
    <t>PLAN BUILD - revenue</t>
  </si>
  <si>
    <t>FY24 food &amp; beverage revenue</t>
  </si>
  <si>
    <t>Planned comp sales growth</t>
  </si>
  <si>
    <t>Existing-restaurant revenue</t>
  </si>
  <si>
    <t>FY24 sales grown at planned comps</t>
  </si>
  <si>
    <t>FY24 new-restaurant revenue (derived)</t>
  </si>
  <si>
    <t>FY24 sales not explained by comps</t>
  </si>
  <si>
    <t>Half-year factor (openings spread over the year)</t>
  </si>
  <si>
    <t>FY24 new-restaurant years</t>
  </si>
  <si>
    <t>FY23 openings finishing their ramp + FY24 openings half-year</t>
  </si>
  <si>
    <t>Revenue per new-restaurant year ($000)</t>
  </si>
  <si>
    <t>Derived from FY24 - new units run below the average restaurant</t>
  </si>
  <si>
    <t>Planned FY25 openings</t>
  </si>
  <si>
    <t>New-restaurant revenue</t>
  </si>
  <si>
    <t>FY24 openings annualizing + FY25 openings half-year</t>
  </si>
  <si>
    <t>Held flat</t>
  </si>
  <si>
    <t>Plan total revenue</t>
  </si>
  <si>
    <t>PLAN BUILD - costs</t>
  </si>
  <si>
    <t>Rent inflation</t>
  </si>
  <si>
    <t>Planned average restaurants</t>
  </si>
  <si>
    <t>G&amp;A growth</t>
  </si>
  <si>
    <t>D&amp;A % of beginning PP&amp;E (FY24)</t>
  </si>
  <si>
    <t>Pre-opening cost per opening, FY24 ($000)</t>
  </si>
  <si>
    <t>METHOD &amp; LIMITATIONS</t>
  </si>
  <si>
    <t>Method: volume effect = cost change because sales/restaurants/openings differed from plan; rate effect = cost per unit differed from plan. G&amp;A, D&amp;A, impairment treated as fixed.</t>
  </si>
  <si>
    <t>1. Comp growth is applied to all FY24 food &amp; beverage revenue; Chipotle's comps only cover restaurants open 13+ months.</t>
  </si>
  <si>
    <t>2. New-restaurant productivity is derived from FY24 as a residual, and openings are assumed to contribute half a year.</t>
  </si>
  <si>
    <t>3. The new-restaurants &amp; other bridge line is a plug; only the traffic and check effects are directly measured.</t>
  </si>
  <si>
    <t>4. Traffic and check effects use FY24 sales as the base and ignore the small interaction between the two.</t>
  </si>
  <si>
    <t>5. FY25 actuals are from the Q4 2025 earnings release (8-K); not yet tied to the audited FY25 10-K.</t>
  </si>
  <si>
    <t>6. Plan is an analyst-built exercise using information available Feb 4, 2025; it is not Chipotle's internal budget.</t>
  </si>
  <si>
    <t>Forecast Drivers &amp; Scenarios</t>
  </si>
  <si>
    <t>Change B4 to switch case: 1 = Base, 2 = Upside, 3 = Downside. Column E feeds the forecast.</t>
  </si>
  <si>
    <t>Scenario switch</t>
  </si>
  <si>
    <t>Base</t>
  </si>
  <si>
    <t>Upside</t>
  </si>
  <si>
    <t>Downside</t>
  </si>
  <si>
    <t>Active</t>
  </si>
  <si>
    <t>Why</t>
  </si>
  <si>
    <t>H2 2026 comp sales growth</t>
  </si>
  <si>
    <t>H1 +1.4%, Q2 +2.2%; food-safety headwind into H2. Guidance 'low single digit'</t>
  </si>
  <si>
    <t>FY2027 comp sales growth</t>
  </si>
  <si>
    <t>Traffic recovering off a weak 2025 base; price ~1-2%</t>
  </si>
  <si>
    <t>FY2026 company-owned openings</t>
  </si>
  <si>
    <t>Guidance 350-370 incl. 10-15 partner-operated; 149 opened in H1</t>
  </si>
  <si>
    <t>FY2027 company-owned openings</t>
  </si>
  <si>
    <t>Steady pace toward long-term unit target</t>
  </si>
  <si>
    <t>Food, bev &amp; packaging % of revenue (H2'26, FY27)</t>
  </si>
  <si>
    <t>H2'25 was 30.1%; H1'26 ran +0.6pt y/y on beef and freight</t>
  </si>
  <si>
    <t>Labor % of revenue (H2'26, FY27)</t>
  </si>
  <si>
    <t>H2'25 was 25.3%; wage inflation, H1'26 +0.7pt y/y</t>
  </si>
  <si>
    <t>Other operating costs % of revenue (H2'26, FY27)</t>
  </si>
  <si>
    <t>H2'25 was 15.2%; marketing and utilities up ~1pt in H1'26</t>
  </si>
  <si>
    <t>G&amp;A growth vs prior period</t>
  </si>
  <si>
    <t>H1'26 G&amp;A +14% (legal, bonuses); expect it to slow</t>
  </si>
  <si>
    <t>Capex per opening, all-in ($000)</t>
  </si>
  <si>
    <t>FY25: $666M / 334 openings = ~$2.0M incl. maintenance</t>
  </si>
  <si>
    <t>OTHER FORECAST INPUTS (same in every case)</t>
  </si>
  <si>
    <t>H1 2026 comp sales (reported)</t>
  </si>
  <si>
    <t>Q2 2026 10-Q</t>
  </si>
  <si>
    <t>Closures + relocations per year</t>
  </si>
  <si>
    <t>FY25: 18, H1'26: 5</t>
  </si>
  <si>
    <t>Rent inflation per restaurant</t>
  </si>
  <si>
    <t>Impairment, H2 2026 ($000)</t>
  </si>
  <si>
    <t>H1'26 was $23.6M, elevated</t>
  </si>
  <si>
    <t>Impairment, FY2027 ($000)</t>
  </si>
  <si>
    <t>~3-year average</t>
  </si>
  <si>
    <t>Yield on cash + investments</t>
  </si>
  <si>
    <t>FY25: ~3.2%</t>
  </si>
  <si>
    <t>Guidance 24-26%</t>
  </si>
  <si>
    <t>Investments ST+LT at Jun 30, 2026 (held to YE)</t>
  </si>
  <si>
    <t>Q2 10-Q: 449,658 + 97,079. Sold down in H1 to fund buybacks</t>
  </si>
  <si>
    <t>Stock comp FY2026</t>
  </si>
  <si>
    <t>H1'26: $54.5M</t>
  </si>
  <si>
    <t>Stock comp FY2027</t>
  </si>
  <si>
    <t>Buybacks FY2026</t>
  </si>
  <si>
    <t>H1 actual $1,354.9M + ~$400M in H2</t>
  </si>
  <si>
    <t>Buybacks FY2027</t>
  </si>
  <si>
    <t>Roughly free cash flow, keeps cash ~flat</t>
  </si>
  <si>
    <t>Tax withholding on stock awards, per year</t>
  </si>
  <si>
    <t>FY25: $49.5M</t>
  </si>
  <si>
    <t>SCENARIO RESULTS (pasted values, re-run by changing B4)</t>
  </si>
  <si>
    <t>$000</t>
  </si>
  <si>
    <t>FY2026 revenue</t>
  </si>
  <si>
    <t>FY2026 operating income</t>
  </si>
  <si>
    <t>FY2026 operating margin</t>
  </si>
  <si>
    <t>FY2027 revenue</t>
  </si>
  <si>
    <t>FY2027 operating income</t>
  </si>
  <si>
    <t>FY2027 operating margin</t>
  </si>
  <si>
    <t>FY2027 net income</t>
  </si>
  <si>
    <t>FY2027 ending cash</t>
  </si>
  <si>
    <t>Income Statement Forecast</t>
  </si>
  <si>
    <t>$000. FY26 = H1 actual (Q2 10-Q) + H2 forecast. FY27 full year.</t>
  </si>
  <si>
    <t>FY2025A</t>
  </si>
  <si>
    <t>H1 2026A</t>
  </si>
  <si>
    <t>H2 2026E</t>
  </si>
  <si>
    <t>FY2026E</t>
  </si>
  <si>
    <t>FY2027E</t>
  </si>
  <si>
    <t>Method</t>
  </si>
  <si>
    <t>RESTAURANTS</t>
  </si>
  <si>
    <t>Company-owned restaurants, end of period</t>
  </si>
  <si>
    <t>Prior year end + openings - closures/relocations</t>
  </si>
  <si>
    <t>Openings</t>
  </si>
  <si>
    <t>Average restaurants</t>
  </si>
  <si>
    <t>REVENUE BUILD</t>
  </si>
  <si>
    <t>H2 2025 revenue (FY25 - H1 25)</t>
  </si>
  <si>
    <t>Base for H2 growth</t>
  </si>
  <si>
    <t>H1 2026 total revenue growth</t>
  </si>
  <si>
    <t xml:space="preserve">  of which new restaurants (total - comps)</t>
  </si>
  <si>
    <t>Assume H2 new-unit contribution = H1</t>
  </si>
  <si>
    <t>Comp sales growth</t>
  </si>
  <si>
    <t>Derived from FY25: revenue not explained by comps / new-unit years</t>
  </si>
  <si>
    <t>H2: H2'25 x (1 + new-unit + comp). FY27: FY26 x (1 + comp) + new-unit revenue</t>
  </si>
  <si>
    <t>% of revenue</t>
  </si>
  <si>
    <t>Avg restaurants x FY25 rent per restaurant, +3%/yr</t>
  </si>
  <si>
    <t>H2'25 / FY26 grown</t>
  </si>
  <si>
    <t>% of beginning PP&amp;E (FY25 rate)</t>
  </si>
  <si>
    <t>Openings x FY25 cost per opening</t>
  </si>
  <si>
    <t>Impairment, closure costs, asset disposals</t>
  </si>
  <si>
    <t>Input</t>
  </si>
  <si>
    <t>Cash + investments x yield (beginning of period)</t>
  </si>
  <si>
    <t>Income before taxes</t>
  </si>
  <si>
    <t>Pre-tax x 25%</t>
  </si>
  <si>
    <t>KEY RATIOS</t>
  </si>
  <si>
    <t>Revenue growth (y/y)</t>
  </si>
  <si>
    <t>Restaurant-level margin</t>
  </si>
  <si>
    <t>Balance Sheet Forecast</t>
  </si>
  <si>
    <t>$000, December 31. Cash comes from the cash flow statement.</t>
  </si>
  <si>
    <t>ASSETS</t>
  </si>
  <si>
    <t>From CF Forecast ending cash</t>
  </si>
  <si>
    <t>Accounts receivable</t>
  </si>
  <si>
    <t>FY25 days of revenue</t>
  </si>
  <si>
    <t>FY25 days of food cost</t>
  </si>
  <si>
    <t>Prepaid and other current assets</t>
  </si>
  <si>
    <t>FY25 % of revenue</t>
  </si>
  <si>
    <t>Investments (ST + LT)</t>
  </si>
  <si>
    <t>Jun 30, 2026 balance, then flat</t>
  </si>
  <si>
    <t>PP&amp;E, net</t>
  </si>
  <si>
    <t>Beginning + capex - D&amp;A</t>
  </si>
  <si>
    <t>Grows with restaurant count</t>
  </si>
  <si>
    <t>Other assets + goodwill</t>
  </si>
  <si>
    <t>LIABILITIES</t>
  </si>
  <si>
    <t>FY25 % of labor</t>
  </si>
  <si>
    <t>Unearned revenue</t>
  </si>
  <si>
    <t>Operating lease liabilities (current + LT)</t>
  </si>
  <si>
    <t>Deferred tax + other liabilities</t>
  </si>
  <si>
    <t>EQUITY</t>
  </si>
  <si>
    <t>Common stock + APIC</t>
  </si>
  <si>
    <t>Prior + stock comp</t>
  </si>
  <si>
    <t>AOCI</t>
  </si>
  <si>
    <t>Prior + net income - buybacks - tax withholding</t>
  </si>
  <si>
    <t>Total equity</t>
  </si>
  <si>
    <t>Check: assets - liabilities - equity</t>
  </si>
  <si>
    <t>Must be 0</t>
  </si>
  <si>
    <t>Cash Flow Forecast</t>
  </si>
  <si>
    <t>$000, indirect method. Ending cash feeds the balance sheet.</t>
  </si>
  <si>
    <t>Note</t>
  </si>
  <si>
    <t>Change: prepaid and other</t>
  </si>
  <si>
    <t>Change: accrued payroll</t>
  </si>
  <si>
    <t>Change: lease liabilities net of lease assets</t>
  </si>
  <si>
    <t>Cash from operations</t>
  </si>
  <si>
    <t>FY25A is reported total; FY25 detail on Historicals</t>
  </si>
  <si>
    <t>Capital expenditures</t>
  </si>
  <si>
    <t>Openings x capex per opening</t>
  </si>
  <si>
    <t>Net sale/(purchase) of investments</t>
  </si>
  <si>
    <t>Cash from investing</t>
  </si>
  <si>
    <t>Share repurchases</t>
  </si>
  <si>
    <t>Tax withholding + other</t>
  </si>
  <si>
    <t>Cash from financing</t>
  </si>
  <si>
    <t>Net change in cash</t>
  </si>
  <si>
    <t>Beginning cash</t>
  </si>
  <si>
    <t>Ending cash</t>
  </si>
  <si>
    <t>-&gt; BS Forecast</t>
  </si>
  <si>
    <t>Free cash flow (CFO + capex)</t>
  </si>
  <si>
    <t>H1 2026 vs H1 2025</t>
  </si>
  <si>
    <t>$000. Source: Q2 2026 10-Q</t>
  </si>
  <si>
    <t>H1 2025</t>
  </si>
  <si>
    <t>H1 2026</t>
  </si>
  <si>
    <t>Change $</t>
  </si>
  <si>
    <t>Change %</t>
  </si>
  <si>
    <t>% of rev H1 2025</t>
  </si>
  <si>
    <t>% of rev H1 2026</t>
  </si>
  <si>
    <t>Check: operating income ties to 10-Q (model − reported)</t>
  </si>
  <si>
    <t>OPERATING KPIs (six months)</t>
  </si>
  <si>
    <t>Company-owned restaurants at June 30</t>
  </si>
  <si>
    <t>Openings (six months)</t>
  </si>
  <si>
    <t>Comparable restaurant sales</t>
  </si>
  <si>
    <t xml:space="preserve">  Transactions</t>
  </si>
  <si>
    <t xml:space="preserve">  Average check</t>
  </si>
  <si>
    <t xml:space="preserve">     Menu price increase</t>
  </si>
  <si>
    <t>Q2 alone: comparable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</si>
</sst>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#,##0.0;\(#,##0.0\);\-"/>
    <numFmt numFmtId="167" formatCode="0.00\x"/>
    <numFmt numFmtId="168" formatCode="#,##0;\(#,##0\)"/>
    <numFmt numFmtId="169" formatCode="0.0%"/>
  </numFmts>
  <fonts count="7" x14ac:knownFonts="1">
    <font>
      <sz val="11"/>
      <color theme="1"/>
      <name val="Calibri"/>
      <family val="2"/>
      <charset val="1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164" fontId="5" fillId="0" borderId="1" xfId="0" applyNumberFormat="1" applyFont="1" applyBorder="1"/>
    <xf numFmtId="164" fontId="5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vertical="top" wrapText="1"/>
    </xf>
    <xf numFmtId="2" fontId="4" fillId="0" borderId="0" xfId="0" applyNumberFormat="1" applyFont="1"/>
    <xf numFmtId="0" fontId="4" fillId="0" borderId="0" xfId="0" applyFont="1"/>
    <xf numFmtId="165" fontId="3" fillId="0" borderId="0" xfId="0" applyNumberFormat="1" applyFont="1"/>
    <xf numFmtId="168" fontId="0" fillId="0" borderId="0" xfId="0" applyNumberFormat="1"/>
    <xf numFmtId="169" fontId="0" fillId="0" borderId="0" xfId="0" applyNumberFormat="1"/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20" zoomScaleNormal="100" workbookViewId="0">
      <selection activeCell="C26" sqref="C26"/>
    </sheetView>
  </sheetViews>
  <sheetFormatPr defaultColWidth="8.6328125" defaultRowHeight="14.5" x14ac:dyDescent="0.35"/>
  <cols>
    <col min="1" max="1" width="62" customWidth="1"/>
    <col min="2" max="5" width="12" customWidth="1"/>
  </cols>
  <sheetData>
    <row r="1" spans="1:5" ht="15" customHeight="1" x14ac:dyDescent="0.35">
      <c r="A1" s="1" t="s">
        <v>0</v>
      </c>
    </row>
    <row r="2" spans="1:5" ht="15" customHeight="1" x14ac:dyDescent="0.35">
      <c r="A2" s="2" t="s">
        <v>1</v>
      </c>
    </row>
    <row r="4" spans="1:5" ht="15" customHeight="1" x14ac:dyDescent="0.35">
      <c r="A4" t="s">
        <v>2</v>
      </c>
    </row>
    <row r="10" spans="1:5" ht="15" customHeight="1" x14ac:dyDescent="0.35">
      <c r="A10" s="3" t="s">
        <v>3</v>
      </c>
    </row>
    <row r="11" spans="1:5" ht="15" customHeight="1" x14ac:dyDescent="0.35">
      <c r="A11" s="2" t="s">
        <v>4</v>
      </c>
    </row>
    <row r="12" spans="1:5" ht="15" customHeight="1" x14ac:dyDescent="0.35">
      <c r="A12" s="2" t="s">
        <v>5</v>
      </c>
    </row>
    <row r="13" spans="1:5" ht="15" customHeight="1" x14ac:dyDescent="0.35">
      <c r="A13" s="2" t="s">
        <v>6</v>
      </c>
    </row>
    <row r="15" spans="1:5" ht="15" customHeight="1" x14ac:dyDescent="0.35">
      <c r="A15" s="4" t="s">
        <v>7</v>
      </c>
      <c r="B15" s="5" t="s">
        <v>8</v>
      </c>
      <c r="C15" s="5" t="s">
        <v>9</v>
      </c>
      <c r="D15" s="5" t="s">
        <v>10</v>
      </c>
      <c r="E15" s="5" t="s">
        <v>11</v>
      </c>
    </row>
    <row r="16" spans="1:5" ht="15" customHeight="1" x14ac:dyDescent="0.35">
      <c r="A16" s="2" t="s">
        <v>12</v>
      </c>
      <c r="B16" s="6">
        <f>Historicals!B39-Historicals!B57</f>
        <v>0</v>
      </c>
      <c r="C16" s="6">
        <f>Historicals!C39-Historicals!C57</f>
        <v>0</v>
      </c>
      <c r="D16" s="6">
        <f>Historicals!D39-Historicals!D57</f>
        <v>0</v>
      </c>
      <c r="E16" s="3" t="str">
        <f t="shared" ref="E16:E26" si="0">IF(AND(ABS(B16)&lt;0.5,ABS(C16)&lt;0.5,ABS(D16)&lt;0.5),"OK","CHECK")</f>
        <v>OK</v>
      </c>
    </row>
    <row r="17" spans="1:5" ht="15" customHeight="1" x14ac:dyDescent="0.35">
      <c r="A17" s="2" t="s">
        <v>13</v>
      </c>
      <c r="B17" s="6">
        <f>Historicals!B26+Historicals!B35-Historicals!B92</f>
        <v>0</v>
      </c>
      <c r="C17" s="6">
        <f>Historicals!C26+Historicals!C35-Historicals!C92</f>
        <v>0</v>
      </c>
      <c r="D17" s="6">
        <f>Historicals!D26+Historicals!D35-Historicals!D92</f>
        <v>0</v>
      </c>
      <c r="E17" s="3" t="str">
        <f t="shared" si="0"/>
        <v>OK</v>
      </c>
    </row>
    <row r="18" spans="1:5" ht="15" customHeight="1" x14ac:dyDescent="0.35">
      <c r="A18" s="2" t="s">
        <v>14</v>
      </c>
      <c r="B18" s="6">
        <f>Historicals!B9-9871649</f>
        <v>0</v>
      </c>
      <c r="C18" s="6">
        <f>Historicals!C9-11313853</f>
        <v>0</v>
      </c>
      <c r="D18" s="6">
        <f>Historicals!D9-11925601</f>
        <v>0</v>
      </c>
      <c r="E18" s="3" t="str">
        <f t="shared" si="0"/>
        <v>OK</v>
      </c>
    </row>
    <row r="19" spans="1:5" ht="15" customHeight="1" x14ac:dyDescent="0.35">
      <c r="A19" s="2" t="s">
        <v>15</v>
      </c>
      <c r="B19" s="6">
        <f>Historicals!B19-1557813</f>
        <v>0</v>
      </c>
      <c r="C19" s="6">
        <f>Historicals!C19-1916333</f>
        <v>0</v>
      </c>
      <c r="D19" s="6">
        <f>Historicals!D19-1935798</f>
        <v>0</v>
      </c>
      <c r="E19" s="3" t="str">
        <f t="shared" si="0"/>
        <v>OK</v>
      </c>
    </row>
    <row r="20" spans="1:5" ht="15" customHeight="1" x14ac:dyDescent="0.35">
      <c r="A20" s="2" t="s">
        <v>16</v>
      </c>
      <c r="B20" s="6">
        <f>Historicals!B23-1228737</f>
        <v>0</v>
      </c>
      <c r="C20" s="6">
        <f>Historicals!C23-1534110</f>
        <v>0</v>
      </c>
      <c r="D20" s="6">
        <f>Historicals!D23-1535761</f>
        <v>0</v>
      </c>
      <c r="E20" s="3" t="str">
        <f t="shared" si="0"/>
        <v>OK</v>
      </c>
    </row>
    <row r="21" spans="1:5" ht="15" customHeight="1" x14ac:dyDescent="0.35">
      <c r="A21" s="2" t="s">
        <v>17</v>
      </c>
      <c r="B21" s="6">
        <f>Historicals!B39-8044362</f>
        <v>0</v>
      </c>
      <c r="C21" s="6">
        <f>Historicals!C39-9204374</f>
        <v>0</v>
      </c>
      <c r="D21" s="6">
        <f>Historicals!D39-8994531</f>
        <v>0</v>
      </c>
      <c r="E21" s="3" t="str">
        <f t="shared" si="0"/>
        <v>OK</v>
      </c>
    </row>
    <row r="22" spans="1:5" ht="15" customHeight="1" x14ac:dyDescent="0.35">
      <c r="A22" s="2" t="s">
        <v>18</v>
      </c>
      <c r="B22" s="6">
        <f>Historicals!B56-3062207</f>
        <v>0</v>
      </c>
      <c r="C22" s="6">
        <f>Historicals!C56-3655546</f>
        <v>0</v>
      </c>
      <c r="D22" s="6">
        <f>Historicals!D56-2830607</f>
        <v>0</v>
      </c>
      <c r="E22" s="3" t="str">
        <f t="shared" si="0"/>
        <v>OK</v>
      </c>
    </row>
    <row r="23" spans="1:5" ht="15" customHeight="1" x14ac:dyDescent="0.35">
      <c r="A23" s="2" t="s">
        <v>19</v>
      </c>
      <c r="B23" s="6">
        <f>Historicals!B79-1783477</f>
        <v>0</v>
      </c>
      <c r="C23" s="6">
        <f>Historicals!C79-2105076</f>
        <v>0</v>
      </c>
      <c r="D23" s="6">
        <f>Historicals!D79-2113926</f>
        <v>0</v>
      </c>
      <c r="E23" s="3" t="str">
        <f t="shared" si="0"/>
        <v>OK</v>
      </c>
    </row>
    <row r="24" spans="1:5" ht="15" customHeight="1" x14ac:dyDescent="0.35">
      <c r="A24" s="2" t="s">
        <v>20</v>
      </c>
      <c r="B24" s="6">
        <f>Historicals!B84--946009</f>
        <v>0</v>
      </c>
      <c r="C24" s="6">
        <f>Historicals!C84--837526</f>
        <v>0</v>
      </c>
      <c r="D24" s="6">
        <f>Historicals!D84--35082</f>
        <v>0</v>
      </c>
      <c r="E24" s="3" t="str">
        <f t="shared" si="0"/>
        <v>OK</v>
      </c>
    </row>
    <row r="25" spans="1:5" ht="15" customHeight="1" x14ac:dyDescent="0.35">
      <c r="A25" s="2" t="s">
        <v>21</v>
      </c>
      <c r="B25" s="6">
        <f>Historicals!B88--660652</f>
        <v>0</v>
      </c>
      <c r="C25" s="6">
        <f>Historicals!C88--1073699</f>
        <v>0</v>
      </c>
      <c r="D25" s="6">
        <f>Historicals!D88--2470898</f>
        <v>0</v>
      </c>
      <c r="E25" s="3" t="str">
        <f t="shared" si="0"/>
        <v>OK</v>
      </c>
    </row>
    <row r="26" spans="1:5" ht="15" customHeight="1" x14ac:dyDescent="0.35">
      <c r="A26" s="2" t="s">
        <v>22</v>
      </c>
      <c r="B26" s="6">
        <f>Historicals!B95+Historicals!B96+Historicals!B97+Historicals!B98-Historicals!B99</f>
        <v>0</v>
      </c>
      <c r="C26" s="6">
        <f>Historicals!C95+Historicals!C96+Historicals!C97+Historicals!C98-Historicals!C99</f>
        <v>0</v>
      </c>
      <c r="D26" s="6">
        <f>Historicals!D95+Historicals!D96+Historicals!D97+Historicals!D98-Historicals!D99</f>
        <v>0</v>
      </c>
      <c r="E26" s="3" t="str">
        <f t="shared" si="0"/>
        <v>OK</v>
      </c>
    </row>
    <row r="27" spans="1:5" ht="15" customHeight="1" x14ac:dyDescent="0.35">
      <c r="A27" s="2" t="s">
        <v>23</v>
      </c>
      <c r="B27" s="6">
        <f>(Historicals!B103+Historicals!B104-Historicals!B102)*100</f>
        <v>0</v>
      </c>
      <c r="C27" s="6">
        <f>(Historicals!C103+Historicals!C104-Historicals!C102)*100</f>
        <v>0</v>
      </c>
      <c r="D27" s="6">
        <f>(Historicals!D103+Historicals!D104-Historicals!D102)*100</f>
        <v>0</v>
      </c>
      <c r="E27" s="3" t="str">
        <f>IF(AND(ABS(B27)&lt;0.05,ABS(C27)&lt;0.05,ABS(D27)&lt;0.05),"OK","CHECK")</f>
        <v>OK</v>
      </c>
    </row>
    <row r="28" spans="1:5" ht="15" customHeight="1" x14ac:dyDescent="0.35">
      <c r="A28" s="2" t="s">
        <v>24</v>
      </c>
      <c r="B28" s="6">
        <f>0</f>
        <v>0</v>
      </c>
      <c r="C28" s="6">
        <f>'BS Forecast'!C35</f>
        <v>0</v>
      </c>
      <c r="D28" s="6">
        <f>'BS Forecast'!D35</f>
        <v>0</v>
      </c>
      <c r="E28" s="3" t="str">
        <f>IF(AND(ABS(B28)&lt;0.5,ABS(C28)&lt;0.5,ABS(D28)&lt;0.5),"OK","CHECK")</f>
        <v>OK</v>
      </c>
    </row>
    <row r="29" spans="1:5" ht="15" customHeight="1" x14ac:dyDescent="0.35">
      <c r="A29" s="2" t="s">
        <v>25</v>
      </c>
      <c r="B29" s="6">
        <f>0</f>
        <v>0</v>
      </c>
      <c r="C29" s="6">
        <f>0</f>
        <v>0</v>
      </c>
      <c r="D29" s="6">
        <f>'FY25 Plan vs Actual'!F19</f>
        <v>-1.4279066817834973E-10</v>
      </c>
      <c r="E29" s="3" t="str">
        <f>IF(AND(ABS(B29)&lt;0.5,ABS(C29)&lt;0.5,ABS(D29)&lt;0.5),"OK","CHECK")</f>
        <v>OK</v>
      </c>
    </row>
    <row r="30" spans="1:5" ht="15" customHeight="1" x14ac:dyDescent="0.35">
      <c r="A30" s="2" t="s">
        <v>26</v>
      </c>
      <c r="B30" s="6">
        <f>0</f>
        <v>0</v>
      </c>
      <c r="C30" s="6">
        <f>0</f>
        <v>0</v>
      </c>
      <c r="D30" s="6">
        <f>'FY25 Plan vs Actual'!B27</f>
        <v>0</v>
      </c>
      <c r="E30" s="3" t="str">
        <f>IF(AND(ABS(B30)&lt;0.5,ABS(C30)&lt;0.5,ABS(D30)&lt;0.5),"OK","CHECK")</f>
        <v>OK</v>
      </c>
    </row>
    <row r="32" spans="1:5" ht="15" customHeight="1" x14ac:dyDescent="0.35">
      <c r="A32" s="3" t="s">
        <v>27</v>
      </c>
      <c r="E32" s="3" t="str">
        <f>IF(COUNTIF(E16:E30,"CHECK")=0,"ALL OK","FIX")</f>
        <v>ALL 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zoomScaleNormal="100" workbookViewId="0">
      <pane xSplit="1" ySplit="4" topLeftCell="B95" activePane="bottomRight" state="frozen"/>
      <selection pane="topRight" activeCell="B1" sqref="B1"/>
      <selection pane="bottomLeft" activeCell="A5" sqref="A5"/>
      <selection pane="bottomRight" activeCell="C14" sqref="C14"/>
    </sheetView>
  </sheetViews>
  <sheetFormatPr defaultColWidth="8.6328125" defaultRowHeight="14.5" x14ac:dyDescent="0.35"/>
  <cols>
    <col min="1" max="1" width="50" customWidth="1"/>
    <col min="2" max="4" width="14" customWidth="1"/>
    <col min="5" max="5" width="10" customWidth="1"/>
    <col min="6" max="6" width="70" customWidth="1"/>
  </cols>
  <sheetData>
    <row r="1" spans="1:6" ht="15" customHeight="1" x14ac:dyDescent="0.35">
      <c r="A1" s="1" t="s">
        <v>28</v>
      </c>
    </row>
    <row r="2" spans="1:6" ht="15" customHeight="1" x14ac:dyDescent="0.35">
      <c r="A2" s="2" t="s">
        <v>29</v>
      </c>
    </row>
    <row r="4" spans="1:6" ht="15" customHeight="1" x14ac:dyDescent="0.35">
      <c r="A4" s="4" t="s">
        <v>30</v>
      </c>
      <c r="B4" s="5" t="s">
        <v>8</v>
      </c>
      <c r="C4" s="5" t="s">
        <v>9</v>
      </c>
      <c r="D4" s="5" t="s">
        <v>10</v>
      </c>
      <c r="E4" s="5" t="s">
        <v>31</v>
      </c>
      <c r="F4" s="5" t="s">
        <v>32</v>
      </c>
    </row>
    <row r="6" spans="1:6" ht="15" customHeight="1" x14ac:dyDescent="0.35">
      <c r="A6" s="3" t="s">
        <v>33</v>
      </c>
    </row>
    <row r="7" spans="1:6" ht="15" customHeight="1" x14ac:dyDescent="0.35">
      <c r="A7" s="2" t="s">
        <v>34</v>
      </c>
      <c r="B7" s="7">
        <v>9804124</v>
      </c>
      <c r="C7" s="7">
        <v>11247384</v>
      </c>
      <c r="D7" s="7">
        <v>11866051</v>
      </c>
      <c r="E7" s="2" t="s">
        <v>35</v>
      </c>
      <c r="F7" s="2" t="s">
        <v>36</v>
      </c>
    </row>
    <row r="8" spans="1:6" ht="15" customHeight="1" x14ac:dyDescent="0.35">
      <c r="A8" s="2" t="s">
        <v>37</v>
      </c>
      <c r="B8" s="7">
        <v>67525</v>
      </c>
      <c r="C8" s="7">
        <v>66469</v>
      </c>
      <c r="D8" s="7">
        <v>59550</v>
      </c>
      <c r="E8" s="2" t="s">
        <v>35</v>
      </c>
      <c r="F8" s="2" t="s">
        <v>36</v>
      </c>
    </row>
    <row r="9" spans="1:6" ht="15" customHeight="1" x14ac:dyDescent="0.35">
      <c r="A9" s="3" t="s">
        <v>38</v>
      </c>
      <c r="B9" s="8">
        <f>SUM(B7:B8)</f>
        <v>9871649</v>
      </c>
      <c r="C9" s="8">
        <f>SUM(C7:C8)</f>
        <v>11313853</v>
      </c>
      <c r="D9" s="8">
        <f>SUM(D7:D8)</f>
        <v>11925601</v>
      </c>
      <c r="E9" s="2" t="s">
        <v>39</v>
      </c>
      <c r="F9" s="2"/>
    </row>
    <row r="10" spans="1:6" ht="15" customHeight="1" x14ac:dyDescent="0.35">
      <c r="A10" s="2" t="s">
        <v>40</v>
      </c>
      <c r="B10" s="7">
        <v>2912564</v>
      </c>
      <c r="C10" s="7">
        <v>3374516</v>
      </c>
      <c r="D10" s="7">
        <v>3526992</v>
      </c>
      <c r="E10" s="2" t="s">
        <v>35</v>
      </c>
      <c r="F10" s="2" t="s">
        <v>36</v>
      </c>
    </row>
    <row r="11" spans="1:6" ht="15" customHeight="1" x14ac:dyDescent="0.35">
      <c r="A11" s="2" t="s">
        <v>41</v>
      </c>
      <c r="B11" s="7">
        <v>2440982</v>
      </c>
      <c r="C11" s="7">
        <v>2789789</v>
      </c>
      <c r="D11" s="7">
        <v>2991680</v>
      </c>
      <c r="E11" s="2" t="s">
        <v>35</v>
      </c>
      <c r="F11" s="2" t="s">
        <v>36</v>
      </c>
    </row>
    <row r="12" spans="1:6" ht="15" customHeight="1" x14ac:dyDescent="0.35">
      <c r="A12" s="2" t="s">
        <v>42</v>
      </c>
      <c r="B12" s="7">
        <v>503264</v>
      </c>
      <c r="C12" s="7">
        <v>563374</v>
      </c>
      <c r="D12" s="7">
        <v>624898</v>
      </c>
      <c r="E12" s="2" t="s">
        <v>35</v>
      </c>
      <c r="F12" s="2" t="s">
        <v>36</v>
      </c>
    </row>
    <row r="13" spans="1:6" ht="15" customHeight="1" x14ac:dyDescent="0.35">
      <c r="A13" s="2" t="s">
        <v>43</v>
      </c>
      <c r="B13" s="7">
        <v>1428747</v>
      </c>
      <c r="C13" s="7">
        <v>1568482</v>
      </c>
      <c r="D13" s="7">
        <v>1755824</v>
      </c>
      <c r="E13" s="2" t="s">
        <v>35</v>
      </c>
      <c r="F13" s="2" t="s">
        <v>36</v>
      </c>
    </row>
    <row r="14" spans="1:6" ht="15" customHeight="1" x14ac:dyDescent="0.35">
      <c r="A14" s="2" t="s">
        <v>44</v>
      </c>
      <c r="B14" s="7">
        <v>633584</v>
      </c>
      <c r="C14" s="7">
        <v>697483</v>
      </c>
      <c r="D14" s="7">
        <v>652017</v>
      </c>
      <c r="E14" s="2" t="s">
        <v>35</v>
      </c>
      <c r="F14" s="2" t="s">
        <v>36</v>
      </c>
    </row>
    <row r="15" spans="1:6" ht="15" customHeight="1" x14ac:dyDescent="0.35">
      <c r="A15" s="2" t="s">
        <v>45</v>
      </c>
      <c r="B15" s="7">
        <v>319394</v>
      </c>
      <c r="C15" s="7">
        <v>335030</v>
      </c>
      <c r="D15" s="7">
        <v>361382</v>
      </c>
      <c r="E15" s="2" t="s">
        <v>35</v>
      </c>
      <c r="F15" s="2" t="s">
        <v>36</v>
      </c>
    </row>
    <row r="16" spans="1:6" ht="15" customHeight="1" x14ac:dyDescent="0.35">
      <c r="A16" s="2" t="s">
        <v>46</v>
      </c>
      <c r="B16" s="7">
        <v>36931</v>
      </c>
      <c r="C16" s="7">
        <v>41897</v>
      </c>
      <c r="D16" s="7">
        <v>49507</v>
      </c>
      <c r="E16" s="2" t="s">
        <v>35</v>
      </c>
      <c r="F16" s="2" t="s">
        <v>36</v>
      </c>
    </row>
    <row r="17" spans="1:6" ht="15" customHeight="1" x14ac:dyDescent="0.35">
      <c r="A17" s="2" t="s">
        <v>47</v>
      </c>
      <c r="B17" s="7">
        <v>38370</v>
      </c>
      <c r="C17" s="7">
        <v>26949</v>
      </c>
      <c r="D17" s="7">
        <v>27503</v>
      </c>
      <c r="E17" s="2" t="s">
        <v>35</v>
      </c>
      <c r="F17" s="2" t="s">
        <v>36</v>
      </c>
    </row>
    <row r="18" spans="1:6" ht="15" customHeight="1" x14ac:dyDescent="0.35">
      <c r="A18" s="3" t="s">
        <v>48</v>
      </c>
      <c r="B18" s="8">
        <f>SUM(B10:B17)</f>
        <v>8313836</v>
      </c>
      <c r="C18" s="8">
        <f>SUM(C10:C17)</f>
        <v>9397520</v>
      </c>
      <c r="D18" s="8">
        <f>SUM(D10:D17)</f>
        <v>9989803</v>
      </c>
      <c r="E18" s="2" t="s">
        <v>39</v>
      </c>
      <c r="F18" s="2"/>
    </row>
    <row r="19" spans="1:6" ht="15" customHeight="1" x14ac:dyDescent="0.35">
      <c r="A19" s="3" t="s">
        <v>49</v>
      </c>
      <c r="B19" s="9">
        <f>B9-B18</f>
        <v>1557813</v>
      </c>
      <c r="C19" s="9">
        <f>C9-C18</f>
        <v>1916333</v>
      </c>
      <c r="D19" s="9">
        <f>D9-D18</f>
        <v>1935798</v>
      </c>
      <c r="E19" s="2" t="s">
        <v>39</v>
      </c>
      <c r="F19" s="2"/>
    </row>
    <row r="20" spans="1:6" ht="15" customHeight="1" x14ac:dyDescent="0.35">
      <c r="A20" s="2" t="s">
        <v>50</v>
      </c>
      <c r="B20" s="7">
        <v>62693</v>
      </c>
      <c r="C20" s="7">
        <v>93897</v>
      </c>
      <c r="D20" s="7">
        <v>73721</v>
      </c>
      <c r="E20" s="2" t="s">
        <v>35</v>
      </c>
      <c r="F20" s="2" t="s">
        <v>36</v>
      </c>
    </row>
    <row r="21" spans="1:6" ht="15" customHeight="1" x14ac:dyDescent="0.35">
      <c r="A21" s="3" t="s">
        <v>51</v>
      </c>
      <c r="B21" s="8">
        <f>B19+B20</f>
        <v>1620506</v>
      </c>
      <c r="C21" s="8">
        <f>C19+C20</f>
        <v>2010230</v>
      </c>
      <c r="D21" s="8">
        <f>D19+D20</f>
        <v>2009519</v>
      </c>
      <c r="E21" s="2" t="s">
        <v>39</v>
      </c>
      <c r="F21" s="2"/>
    </row>
    <row r="22" spans="1:6" ht="15" customHeight="1" x14ac:dyDescent="0.35">
      <c r="A22" s="2" t="s">
        <v>52</v>
      </c>
      <c r="B22" s="7">
        <v>391769</v>
      </c>
      <c r="C22" s="7">
        <v>476120</v>
      </c>
      <c r="D22" s="7">
        <v>473758</v>
      </c>
      <c r="E22" s="2" t="s">
        <v>35</v>
      </c>
      <c r="F22" s="2" t="s">
        <v>36</v>
      </c>
    </row>
    <row r="23" spans="1:6" ht="15" customHeight="1" x14ac:dyDescent="0.35">
      <c r="A23" s="3" t="s">
        <v>53</v>
      </c>
      <c r="B23" s="8">
        <f>B21-B22</f>
        <v>1228737</v>
      </c>
      <c r="C23" s="8">
        <f>C21-C22</f>
        <v>1534110</v>
      </c>
      <c r="D23" s="8">
        <f>D21-D22</f>
        <v>1535761</v>
      </c>
      <c r="E23" s="2" t="s">
        <v>39</v>
      </c>
      <c r="F23" s="2"/>
    </row>
    <row r="25" spans="1:6" ht="15" customHeight="1" x14ac:dyDescent="0.35">
      <c r="A25" s="3" t="s">
        <v>54</v>
      </c>
    </row>
    <row r="26" spans="1:6" ht="15" customHeight="1" x14ac:dyDescent="0.35">
      <c r="A26" s="2" t="s">
        <v>55</v>
      </c>
      <c r="B26" s="7">
        <v>560609</v>
      </c>
      <c r="C26" s="7">
        <v>748537</v>
      </c>
      <c r="D26" s="7">
        <v>350545</v>
      </c>
      <c r="E26" s="2" t="s">
        <v>35</v>
      </c>
      <c r="F26" s="2" t="s">
        <v>36</v>
      </c>
    </row>
    <row r="27" spans="1:6" ht="15" customHeight="1" x14ac:dyDescent="0.35">
      <c r="A27" s="2" t="s">
        <v>56</v>
      </c>
      <c r="B27" s="7">
        <v>115535</v>
      </c>
      <c r="C27" s="7">
        <v>143963</v>
      </c>
      <c r="D27" s="7">
        <v>156466</v>
      </c>
      <c r="E27" s="2" t="s">
        <v>35</v>
      </c>
      <c r="F27" s="2" t="s">
        <v>36</v>
      </c>
    </row>
    <row r="28" spans="1:6" ht="15" customHeight="1" x14ac:dyDescent="0.35">
      <c r="A28" s="2" t="s">
        <v>57</v>
      </c>
      <c r="B28" s="7">
        <v>39309</v>
      </c>
      <c r="C28" s="7">
        <v>48942</v>
      </c>
      <c r="D28" s="7">
        <v>49508</v>
      </c>
      <c r="E28" s="2" t="s">
        <v>35</v>
      </c>
      <c r="F28" s="2" t="s">
        <v>36</v>
      </c>
    </row>
    <row r="29" spans="1:6" ht="15" customHeight="1" x14ac:dyDescent="0.35">
      <c r="A29" s="2" t="s">
        <v>58</v>
      </c>
      <c r="B29" s="7">
        <v>117462</v>
      </c>
      <c r="C29" s="7">
        <v>97538</v>
      </c>
      <c r="D29" s="7">
        <v>120450</v>
      </c>
      <c r="E29" s="2" t="s">
        <v>35</v>
      </c>
      <c r="F29" s="2" t="s">
        <v>36</v>
      </c>
    </row>
    <row r="30" spans="1:6" ht="15" customHeight="1" x14ac:dyDescent="0.35">
      <c r="A30" s="2" t="s">
        <v>59</v>
      </c>
      <c r="B30" s="7">
        <v>52960</v>
      </c>
      <c r="C30" s="7">
        <v>67229</v>
      </c>
      <c r="D30" s="7">
        <v>91393</v>
      </c>
      <c r="E30" s="2" t="s">
        <v>35</v>
      </c>
      <c r="F30" s="2" t="s">
        <v>36</v>
      </c>
    </row>
    <row r="31" spans="1:6" ht="15" customHeight="1" x14ac:dyDescent="0.35">
      <c r="A31" s="2" t="s">
        <v>60</v>
      </c>
      <c r="B31" s="7">
        <v>734838</v>
      </c>
      <c r="C31" s="7">
        <v>674378</v>
      </c>
      <c r="D31" s="7">
        <v>698591</v>
      </c>
      <c r="E31" s="2" t="s">
        <v>35</v>
      </c>
      <c r="F31" s="2" t="s">
        <v>36</v>
      </c>
    </row>
    <row r="32" spans="1:6" ht="15" customHeight="1" x14ac:dyDescent="0.35">
      <c r="A32" s="3" t="s">
        <v>61</v>
      </c>
      <c r="B32" s="8">
        <f>SUM(B26:B31)</f>
        <v>1620713</v>
      </c>
      <c r="C32" s="8">
        <f>SUM(C26:C31)</f>
        <v>1780587</v>
      </c>
      <c r="D32" s="8">
        <f>SUM(D26:D31)</f>
        <v>1466953</v>
      </c>
      <c r="E32" s="2" t="s">
        <v>39</v>
      </c>
      <c r="F32" s="2"/>
    </row>
    <row r="33" spans="1:6" ht="15" customHeight="1" x14ac:dyDescent="0.35">
      <c r="A33" s="2" t="s">
        <v>62</v>
      </c>
      <c r="B33" s="7">
        <v>2170038</v>
      </c>
      <c r="C33" s="7">
        <v>2390126</v>
      </c>
      <c r="D33" s="7">
        <v>2679361</v>
      </c>
      <c r="E33" s="2" t="s">
        <v>35</v>
      </c>
      <c r="F33" s="2" t="s">
        <v>36</v>
      </c>
    </row>
    <row r="34" spans="1:6" ht="15" customHeight="1" x14ac:dyDescent="0.35">
      <c r="A34" s="2" t="s">
        <v>63</v>
      </c>
      <c r="B34" s="7">
        <v>564488</v>
      </c>
      <c r="C34" s="7">
        <v>868025</v>
      </c>
      <c r="D34" s="7">
        <v>197123</v>
      </c>
      <c r="E34" s="2" t="s">
        <v>35</v>
      </c>
      <c r="F34" s="2" t="s">
        <v>36</v>
      </c>
    </row>
    <row r="35" spans="1:6" ht="15" customHeight="1" x14ac:dyDescent="0.35">
      <c r="A35" s="2" t="s">
        <v>64</v>
      </c>
      <c r="B35" s="7">
        <v>25554</v>
      </c>
      <c r="C35" s="7">
        <v>29842</v>
      </c>
      <c r="D35" s="7">
        <v>35364</v>
      </c>
      <c r="E35" s="2" t="s">
        <v>35</v>
      </c>
      <c r="F35" s="2" t="s">
        <v>36</v>
      </c>
    </row>
    <row r="36" spans="1:6" ht="15" customHeight="1" x14ac:dyDescent="0.35">
      <c r="A36" s="2" t="s">
        <v>65</v>
      </c>
      <c r="B36" s="7">
        <v>3578548</v>
      </c>
      <c r="C36" s="7">
        <v>4000127</v>
      </c>
      <c r="D36" s="7">
        <v>4463010</v>
      </c>
      <c r="E36" s="2" t="s">
        <v>35</v>
      </c>
      <c r="F36" s="2" t="s">
        <v>36</v>
      </c>
    </row>
    <row r="37" spans="1:6" ht="15" customHeight="1" x14ac:dyDescent="0.35">
      <c r="A37" s="2" t="s">
        <v>66</v>
      </c>
      <c r="B37" s="7">
        <v>63082</v>
      </c>
      <c r="C37" s="7">
        <v>113728</v>
      </c>
      <c r="D37" s="7">
        <v>130781</v>
      </c>
      <c r="E37" s="2" t="s">
        <v>35</v>
      </c>
      <c r="F37" s="2" t="s">
        <v>36</v>
      </c>
    </row>
    <row r="38" spans="1:6" ht="15" customHeight="1" x14ac:dyDescent="0.35">
      <c r="A38" s="2" t="s">
        <v>67</v>
      </c>
      <c r="B38" s="7">
        <v>21939</v>
      </c>
      <c r="C38" s="7">
        <v>21939</v>
      </c>
      <c r="D38" s="7">
        <v>21939</v>
      </c>
      <c r="E38" s="2" t="s">
        <v>35</v>
      </c>
      <c r="F38" s="2" t="s">
        <v>36</v>
      </c>
    </row>
    <row r="39" spans="1:6" ht="15" customHeight="1" x14ac:dyDescent="0.35">
      <c r="A39" s="3" t="s">
        <v>68</v>
      </c>
      <c r="B39" s="8">
        <f>B32+SUM(B33:B38)</f>
        <v>8044362</v>
      </c>
      <c r="C39" s="8">
        <f>C32+SUM(C33:C38)</f>
        <v>9204374</v>
      </c>
      <c r="D39" s="8">
        <f>D32+SUM(D33:D38)</f>
        <v>8994531</v>
      </c>
      <c r="E39" s="2" t="s">
        <v>39</v>
      </c>
      <c r="F39" s="2"/>
    </row>
    <row r="41" spans="1:6" ht="15" customHeight="1" x14ac:dyDescent="0.35">
      <c r="A41" s="2" t="s">
        <v>69</v>
      </c>
      <c r="B41" s="7">
        <v>197646</v>
      </c>
      <c r="C41" s="7">
        <v>210695</v>
      </c>
      <c r="D41" s="7">
        <v>212813</v>
      </c>
      <c r="E41" s="2" t="s">
        <v>35</v>
      </c>
      <c r="F41" s="2" t="s">
        <v>36</v>
      </c>
    </row>
    <row r="42" spans="1:6" ht="15" customHeight="1" x14ac:dyDescent="0.35">
      <c r="A42" s="2" t="s">
        <v>70</v>
      </c>
      <c r="B42" s="7">
        <v>227537</v>
      </c>
      <c r="C42" s="7">
        <v>261913</v>
      </c>
      <c r="D42" s="7">
        <v>250126</v>
      </c>
      <c r="E42" s="2" t="s">
        <v>35</v>
      </c>
      <c r="F42" s="2" t="s">
        <v>36</v>
      </c>
    </row>
    <row r="43" spans="1:6" ht="15" customHeight="1" x14ac:dyDescent="0.35">
      <c r="A43" s="2" t="s">
        <v>71</v>
      </c>
      <c r="B43" s="7">
        <v>147688</v>
      </c>
      <c r="C43" s="7">
        <v>179747</v>
      </c>
      <c r="D43" s="7">
        <v>182448</v>
      </c>
      <c r="E43" s="2" t="s">
        <v>35</v>
      </c>
      <c r="F43" s="2" t="s">
        <v>36</v>
      </c>
    </row>
    <row r="44" spans="1:6" ht="15" customHeight="1" x14ac:dyDescent="0.35">
      <c r="A44" s="2" t="s">
        <v>72</v>
      </c>
      <c r="B44" s="7">
        <v>209680</v>
      </c>
      <c r="C44" s="7">
        <v>238577</v>
      </c>
      <c r="D44" s="7">
        <v>240375</v>
      </c>
      <c r="E44" s="2" t="s">
        <v>35</v>
      </c>
      <c r="F44" s="2" t="s">
        <v>36</v>
      </c>
    </row>
    <row r="45" spans="1:6" ht="15" customHeight="1" x14ac:dyDescent="0.35">
      <c r="A45" s="2" t="s">
        <v>73</v>
      </c>
      <c r="B45" s="7">
        <v>248074</v>
      </c>
      <c r="C45" s="7">
        <v>277836</v>
      </c>
      <c r="D45" s="7">
        <v>302380</v>
      </c>
      <c r="E45" s="2" t="s">
        <v>35</v>
      </c>
      <c r="F45" s="2" t="s">
        <v>36</v>
      </c>
    </row>
    <row r="46" spans="1:6" ht="15" customHeight="1" x14ac:dyDescent="0.35">
      <c r="A46" s="3" t="s">
        <v>74</v>
      </c>
      <c r="B46" s="8">
        <f>SUM(B41:B45)</f>
        <v>1030625</v>
      </c>
      <c r="C46" s="8">
        <f>SUM(C41:C45)</f>
        <v>1168768</v>
      </c>
      <c r="D46" s="8">
        <f>SUM(D41:D45)</f>
        <v>1188142</v>
      </c>
      <c r="E46" s="2" t="s">
        <v>39</v>
      </c>
      <c r="F46" s="2"/>
    </row>
    <row r="47" spans="1:6" ht="15" customHeight="1" x14ac:dyDescent="0.35">
      <c r="A47" s="2" t="s">
        <v>75</v>
      </c>
      <c r="B47" s="7">
        <v>3803551</v>
      </c>
      <c r="C47" s="7">
        <v>4262782</v>
      </c>
      <c r="D47" s="7">
        <v>4773434</v>
      </c>
      <c r="E47" s="2" t="s">
        <v>35</v>
      </c>
      <c r="F47" s="2" t="s">
        <v>36</v>
      </c>
    </row>
    <row r="48" spans="1:6" ht="15" customHeight="1" x14ac:dyDescent="0.35">
      <c r="A48" s="2" t="s">
        <v>76</v>
      </c>
      <c r="B48" s="7">
        <v>89109</v>
      </c>
      <c r="C48" s="7">
        <v>46208</v>
      </c>
      <c r="D48" s="7">
        <v>125674</v>
      </c>
      <c r="E48" s="2" t="s">
        <v>35</v>
      </c>
      <c r="F48" s="2" t="s">
        <v>36</v>
      </c>
    </row>
    <row r="49" spans="1:6" ht="15" customHeight="1" x14ac:dyDescent="0.35">
      <c r="A49" s="2" t="s">
        <v>77</v>
      </c>
      <c r="B49" s="7">
        <v>58870</v>
      </c>
      <c r="C49" s="7">
        <v>71070</v>
      </c>
      <c r="D49" s="7">
        <v>76674</v>
      </c>
      <c r="E49" s="2" t="s">
        <v>35</v>
      </c>
      <c r="F49" s="2" t="s">
        <v>36</v>
      </c>
    </row>
    <row r="50" spans="1:6" ht="15" customHeight="1" x14ac:dyDescent="0.35">
      <c r="A50" s="3" t="s">
        <v>78</v>
      </c>
      <c r="B50" s="8">
        <f>B46+SUM(B47:B49)</f>
        <v>4982155</v>
      </c>
      <c r="C50" s="8">
        <f>C46+SUM(C47:C49)</f>
        <v>5548828</v>
      </c>
      <c r="D50" s="8">
        <f>D46+SUM(D47:D49)</f>
        <v>6163924</v>
      </c>
      <c r="E50" s="2" t="s">
        <v>39</v>
      </c>
      <c r="F50" s="2"/>
    </row>
    <row r="51" spans="1:6" ht="15" customHeight="1" x14ac:dyDescent="0.35">
      <c r="A51" s="2" t="s">
        <v>79</v>
      </c>
      <c r="B51" s="7">
        <v>18741</v>
      </c>
      <c r="C51" s="7">
        <v>13586</v>
      </c>
      <c r="D51" s="7">
        <v>13044</v>
      </c>
      <c r="E51" s="2" t="s">
        <v>35</v>
      </c>
      <c r="F51" s="2" t="s">
        <v>36</v>
      </c>
    </row>
    <row r="52" spans="1:6" ht="15" customHeight="1" x14ac:dyDescent="0.35">
      <c r="A52" s="2" t="s">
        <v>80</v>
      </c>
      <c r="B52" s="7">
        <v>1937794</v>
      </c>
      <c r="C52" s="7">
        <v>2078010</v>
      </c>
      <c r="D52" s="7">
        <v>2204944</v>
      </c>
      <c r="E52" s="2" t="s">
        <v>35</v>
      </c>
      <c r="F52" s="2" t="s">
        <v>36</v>
      </c>
    </row>
    <row r="53" spans="1:6" ht="15" customHeight="1" x14ac:dyDescent="0.35">
      <c r="A53" s="2" t="s">
        <v>81</v>
      </c>
      <c r="B53" s="7">
        <v>-4944656</v>
      </c>
      <c r="C53" s="7">
        <v>0</v>
      </c>
      <c r="D53" s="7">
        <v>0</v>
      </c>
      <c r="E53" s="2" t="s">
        <v>35</v>
      </c>
      <c r="F53" s="2" t="s">
        <v>82</v>
      </c>
    </row>
    <row r="54" spans="1:6" ht="15" customHeight="1" x14ac:dyDescent="0.35">
      <c r="A54" s="2" t="s">
        <v>83</v>
      </c>
      <c r="B54" s="7">
        <v>-6657</v>
      </c>
      <c r="C54" s="7">
        <v>-10282</v>
      </c>
      <c r="D54" s="7">
        <v>-7289</v>
      </c>
      <c r="E54" s="2" t="s">
        <v>35</v>
      </c>
      <c r="F54" s="2" t="s">
        <v>36</v>
      </c>
    </row>
    <row r="55" spans="1:6" ht="15" customHeight="1" x14ac:dyDescent="0.35">
      <c r="A55" s="2" t="s">
        <v>84</v>
      </c>
      <c r="B55" s="7">
        <v>6056985</v>
      </c>
      <c r="C55" s="7">
        <v>1574232</v>
      </c>
      <c r="D55" s="7">
        <v>619908</v>
      </c>
      <c r="E55" s="2" t="s">
        <v>35</v>
      </c>
      <c r="F55" s="2" t="s">
        <v>36</v>
      </c>
    </row>
    <row r="56" spans="1:6" ht="15" customHeight="1" x14ac:dyDescent="0.35">
      <c r="A56" s="3" t="s">
        <v>85</v>
      </c>
      <c r="B56" s="8">
        <f>SUM(B51:B55)</f>
        <v>3062207</v>
      </c>
      <c r="C56" s="8">
        <f>SUM(C51:C55)</f>
        <v>3655546</v>
      </c>
      <c r="D56" s="8">
        <f>SUM(D51:D55)</f>
        <v>2830607</v>
      </c>
      <c r="E56" s="2" t="s">
        <v>39</v>
      </c>
      <c r="F56" s="2"/>
    </row>
    <row r="57" spans="1:6" ht="15" customHeight="1" x14ac:dyDescent="0.35">
      <c r="A57" s="3" t="s">
        <v>86</v>
      </c>
      <c r="B57" s="8">
        <f>B50+B56</f>
        <v>8044362</v>
      </c>
      <c r="C57" s="8">
        <f>C50+C56</f>
        <v>9204374</v>
      </c>
      <c r="D57" s="8">
        <f>D50+D56</f>
        <v>8994531</v>
      </c>
      <c r="E57" s="2" t="s">
        <v>39</v>
      </c>
      <c r="F57" s="2"/>
    </row>
    <row r="59" spans="1:6" ht="15" customHeight="1" x14ac:dyDescent="0.35">
      <c r="A59" s="3" t="s">
        <v>87</v>
      </c>
    </row>
    <row r="60" spans="1:6" ht="15" customHeight="1" x14ac:dyDescent="0.35">
      <c r="A60" s="2" t="s">
        <v>53</v>
      </c>
      <c r="B60" s="10">
        <f>B23</f>
        <v>1228737</v>
      </c>
      <c r="C60" s="10">
        <f>C23</f>
        <v>1534110</v>
      </c>
      <c r="D60" s="10">
        <f>D23</f>
        <v>1535761</v>
      </c>
      <c r="E60" s="2" t="s">
        <v>88</v>
      </c>
      <c r="F60" s="2"/>
    </row>
    <row r="61" spans="1:6" ht="15" customHeight="1" x14ac:dyDescent="0.35">
      <c r="A61" s="2" t="s">
        <v>45</v>
      </c>
      <c r="B61" s="10">
        <f>B15</f>
        <v>319394</v>
      </c>
      <c r="C61" s="10">
        <f>C15</f>
        <v>335030</v>
      </c>
      <c r="D61" s="10">
        <f>D15</f>
        <v>361382</v>
      </c>
      <c r="E61" s="2" t="s">
        <v>88</v>
      </c>
      <c r="F61" s="2"/>
    </row>
    <row r="62" spans="1:6" ht="15" customHeight="1" x14ac:dyDescent="0.35">
      <c r="A62" s="2" t="s">
        <v>89</v>
      </c>
      <c r="B62" s="7">
        <v>-9505</v>
      </c>
      <c r="C62" s="7">
        <v>-42937</v>
      </c>
      <c r="D62" s="7">
        <v>79483</v>
      </c>
      <c r="E62" s="2" t="s">
        <v>35</v>
      </c>
      <c r="F62" s="2" t="s">
        <v>36</v>
      </c>
    </row>
    <row r="63" spans="1:6" ht="15" customHeight="1" x14ac:dyDescent="0.35">
      <c r="A63" s="2" t="s">
        <v>47</v>
      </c>
      <c r="B63" s="7">
        <v>37025</v>
      </c>
      <c r="C63" s="7">
        <v>24582</v>
      </c>
      <c r="D63" s="7">
        <v>26576</v>
      </c>
      <c r="E63" s="2" t="s">
        <v>35</v>
      </c>
      <c r="F63" s="2" t="s">
        <v>36</v>
      </c>
    </row>
    <row r="64" spans="1:6" ht="15" customHeight="1" x14ac:dyDescent="0.35">
      <c r="A64" s="2" t="s">
        <v>90</v>
      </c>
      <c r="B64" s="7">
        <v>1570</v>
      </c>
      <c r="C64" s="7">
        <v>215</v>
      </c>
      <c r="D64" s="7">
        <v>-657</v>
      </c>
      <c r="E64" s="2" t="s">
        <v>35</v>
      </c>
      <c r="F64" s="2" t="s">
        <v>36</v>
      </c>
    </row>
    <row r="65" spans="1:6" ht="15" customHeight="1" x14ac:dyDescent="0.35">
      <c r="A65" s="2" t="s">
        <v>91</v>
      </c>
      <c r="B65" s="7">
        <v>124016</v>
      </c>
      <c r="C65" s="7">
        <v>131730</v>
      </c>
      <c r="D65" s="7">
        <v>119543</v>
      </c>
      <c r="E65" s="2" t="s">
        <v>35</v>
      </c>
      <c r="F65" s="2" t="s">
        <v>36</v>
      </c>
    </row>
    <row r="66" spans="1:6" ht="15" customHeight="1" x14ac:dyDescent="0.35">
      <c r="A66" s="2" t="s">
        <v>92</v>
      </c>
      <c r="B66" s="7">
        <v>-13080</v>
      </c>
      <c r="C66" s="7">
        <v>-3472</v>
      </c>
      <c r="D66" s="7">
        <v>-14661</v>
      </c>
      <c r="E66" s="2" t="s">
        <v>35</v>
      </c>
      <c r="F66" s="2" t="s">
        <v>36</v>
      </c>
    </row>
    <row r="67" spans="1:6" ht="15" customHeight="1" x14ac:dyDescent="0.35">
      <c r="A67" s="2" t="s">
        <v>93</v>
      </c>
      <c r="B67" s="7">
        <v>-11216</v>
      </c>
      <c r="C67" s="7">
        <v>-29274</v>
      </c>
      <c r="D67" s="7">
        <v>-11383</v>
      </c>
      <c r="E67" s="2" t="s">
        <v>35</v>
      </c>
      <c r="F67" s="2" t="s">
        <v>36</v>
      </c>
    </row>
    <row r="68" spans="1:6" ht="15" customHeight="1" x14ac:dyDescent="0.35">
      <c r="A68" s="2" t="s">
        <v>94</v>
      </c>
      <c r="B68" s="7">
        <v>-3649</v>
      </c>
      <c r="C68" s="7">
        <v>-9797</v>
      </c>
      <c r="D68" s="7">
        <v>-710</v>
      </c>
      <c r="E68" s="2" t="s">
        <v>35</v>
      </c>
      <c r="F68" s="2" t="s">
        <v>36</v>
      </c>
    </row>
    <row r="69" spans="1:6" ht="15" customHeight="1" x14ac:dyDescent="0.35">
      <c r="A69" s="2" t="s">
        <v>95</v>
      </c>
      <c r="B69" s="7">
        <v>-39211</v>
      </c>
      <c r="C69" s="7">
        <v>9244</v>
      </c>
      <c r="D69" s="7">
        <v>-33042</v>
      </c>
      <c r="E69" s="2" t="s">
        <v>35</v>
      </c>
      <c r="F69" s="2" t="s">
        <v>36</v>
      </c>
    </row>
    <row r="70" spans="1:6" ht="15" customHeight="1" x14ac:dyDescent="0.35">
      <c r="A70" s="2" t="s">
        <v>96</v>
      </c>
      <c r="B70" s="7">
        <v>254241</v>
      </c>
      <c r="C70" s="7">
        <v>285587</v>
      </c>
      <c r="D70" s="7">
        <v>332685</v>
      </c>
      <c r="E70" s="2" t="s">
        <v>35</v>
      </c>
      <c r="F70" s="2" t="s">
        <v>36</v>
      </c>
    </row>
    <row r="71" spans="1:6" ht="15" customHeight="1" x14ac:dyDescent="0.35">
      <c r="A71" s="2" t="s">
        <v>97</v>
      </c>
      <c r="B71" s="7">
        <v>4204</v>
      </c>
      <c r="C71" s="7">
        <v>-17690</v>
      </c>
      <c r="D71" s="7">
        <v>-5155</v>
      </c>
      <c r="E71" s="2" t="s">
        <v>35</v>
      </c>
      <c r="F71" s="2" t="s">
        <v>36</v>
      </c>
    </row>
    <row r="72" spans="1:6" ht="15" customHeight="1" x14ac:dyDescent="0.35">
      <c r="A72" s="2" t="s">
        <v>98</v>
      </c>
      <c r="B72" s="7">
        <v>5313</v>
      </c>
      <c r="C72" s="7">
        <v>8467</v>
      </c>
      <c r="D72" s="7">
        <v>-7449</v>
      </c>
      <c r="E72" s="2" t="s">
        <v>35</v>
      </c>
      <c r="F72" s="2" t="s">
        <v>36</v>
      </c>
    </row>
    <row r="73" spans="1:6" ht="15" customHeight="1" x14ac:dyDescent="0.35">
      <c r="A73" s="2" t="s">
        <v>99</v>
      </c>
      <c r="B73" s="7">
        <v>57048</v>
      </c>
      <c r="C73" s="7">
        <v>34857</v>
      </c>
      <c r="D73" s="7">
        <v>-12113</v>
      </c>
      <c r="E73" s="2" t="s">
        <v>35</v>
      </c>
      <c r="F73" s="2" t="s">
        <v>36</v>
      </c>
    </row>
    <row r="74" spans="1:6" ht="15" customHeight="1" x14ac:dyDescent="0.35">
      <c r="A74" s="2" t="s">
        <v>100</v>
      </c>
      <c r="B74" s="7">
        <v>3188</v>
      </c>
      <c r="C74" s="7">
        <v>27284</v>
      </c>
      <c r="D74" s="7">
        <v>-10499</v>
      </c>
      <c r="E74" s="2" t="s">
        <v>35</v>
      </c>
      <c r="F74" s="2" t="s">
        <v>36</v>
      </c>
    </row>
    <row r="75" spans="1:6" ht="15" customHeight="1" x14ac:dyDescent="0.35">
      <c r="A75" s="2" t="s">
        <v>101</v>
      </c>
      <c r="B75" s="7">
        <v>35685</v>
      </c>
      <c r="C75" s="7">
        <v>46139</v>
      </c>
      <c r="D75" s="7">
        <v>40710</v>
      </c>
      <c r="E75" s="2" t="s">
        <v>35</v>
      </c>
      <c r="F75" s="2" t="s">
        <v>36</v>
      </c>
    </row>
    <row r="76" spans="1:6" ht="15" customHeight="1" x14ac:dyDescent="0.35">
      <c r="A76" s="2" t="s">
        <v>102</v>
      </c>
      <c r="B76" s="7">
        <v>-5237</v>
      </c>
      <c r="C76" s="7">
        <v>-14363</v>
      </c>
      <c r="D76" s="7">
        <v>-24125</v>
      </c>
      <c r="E76" s="2" t="s">
        <v>35</v>
      </c>
      <c r="F76" s="2" t="s">
        <v>36</v>
      </c>
    </row>
    <row r="77" spans="1:6" ht="15" customHeight="1" x14ac:dyDescent="0.35">
      <c r="A77" s="2" t="s">
        <v>103</v>
      </c>
      <c r="B77" s="7">
        <v>-214477</v>
      </c>
      <c r="C77" s="7">
        <v>-217894</v>
      </c>
      <c r="D77" s="7">
        <v>-258228</v>
      </c>
      <c r="E77" s="2" t="s">
        <v>35</v>
      </c>
      <c r="F77" s="2" t="s">
        <v>36</v>
      </c>
    </row>
    <row r="78" spans="1:6" ht="15" customHeight="1" x14ac:dyDescent="0.35">
      <c r="A78" s="2" t="s">
        <v>104</v>
      </c>
      <c r="B78" s="7">
        <v>9431</v>
      </c>
      <c r="C78" s="7">
        <v>3258</v>
      </c>
      <c r="D78" s="7">
        <v>-4192</v>
      </c>
      <c r="E78" s="2" t="s">
        <v>35</v>
      </c>
      <c r="F78" s="2" t="s">
        <v>36</v>
      </c>
    </row>
    <row r="79" spans="1:6" ht="15" customHeight="1" x14ac:dyDescent="0.35">
      <c r="A79" s="3" t="s">
        <v>105</v>
      </c>
      <c r="B79" s="8">
        <f>SUM(B60:B78)</f>
        <v>1783477</v>
      </c>
      <c r="C79" s="8">
        <f>SUM(C60:C78)</f>
        <v>2105076</v>
      </c>
      <c r="D79" s="8">
        <f>SUM(D60:D78)</f>
        <v>2113926</v>
      </c>
      <c r="E79" s="2" t="s">
        <v>39</v>
      </c>
      <c r="F79" s="2"/>
    </row>
    <row r="80" spans="1:6" ht="15" customHeight="1" x14ac:dyDescent="0.35">
      <c r="A80" s="2" t="s">
        <v>106</v>
      </c>
      <c r="B80" s="7">
        <v>-560731</v>
      </c>
      <c r="C80" s="7">
        <v>-593603</v>
      </c>
      <c r="D80" s="7">
        <v>-666336</v>
      </c>
      <c r="E80" s="2" t="s">
        <v>35</v>
      </c>
      <c r="F80" s="2" t="s">
        <v>36</v>
      </c>
    </row>
    <row r="81" spans="1:6" ht="15" customHeight="1" x14ac:dyDescent="0.35">
      <c r="A81" s="2" t="s">
        <v>107</v>
      </c>
      <c r="B81" s="7">
        <v>-1115131</v>
      </c>
      <c r="C81" s="7">
        <v>-986673</v>
      </c>
      <c r="D81" s="7">
        <v>-28222</v>
      </c>
      <c r="E81" s="2" t="s">
        <v>35</v>
      </c>
      <c r="F81" s="2" t="s">
        <v>36</v>
      </c>
    </row>
    <row r="82" spans="1:6" ht="15" customHeight="1" x14ac:dyDescent="0.35">
      <c r="A82" s="2" t="s">
        <v>108</v>
      </c>
      <c r="B82" s="7">
        <v>729853</v>
      </c>
      <c r="C82" s="7">
        <v>722637</v>
      </c>
      <c r="D82" s="7">
        <v>659476</v>
      </c>
      <c r="E82" s="2" t="s">
        <v>35</v>
      </c>
      <c r="F82" s="2" t="s">
        <v>36</v>
      </c>
    </row>
    <row r="83" spans="1:6" ht="15" customHeight="1" x14ac:dyDescent="0.35">
      <c r="A83" s="2" t="s">
        <v>109</v>
      </c>
      <c r="B83" s="7">
        <v>0</v>
      </c>
      <c r="C83" s="7">
        <v>20113</v>
      </c>
      <c r="D83" s="7">
        <v>0</v>
      </c>
      <c r="E83" s="2" t="s">
        <v>35</v>
      </c>
      <c r="F83" s="2" t="s">
        <v>36</v>
      </c>
    </row>
    <row r="84" spans="1:6" ht="15" customHeight="1" x14ac:dyDescent="0.35">
      <c r="A84" s="3" t="s">
        <v>110</v>
      </c>
      <c r="B84" s="8">
        <f>SUM(B80:B83)</f>
        <v>-946009</v>
      </c>
      <c r="C84" s="8">
        <f>SUM(C80:C83)</f>
        <v>-837526</v>
      </c>
      <c r="D84" s="8">
        <f>SUM(D80:D83)</f>
        <v>-35082</v>
      </c>
      <c r="E84" s="2" t="s">
        <v>39</v>
      </c>
      <c r="F84" s="2"/>
    </row>
    <row r="85" spans="1:6" ht="15" customHeight="1" x14ac:dyDescent="0.35">
      <c r="A85" s="2" t="s">
        <v>111</v>
      </c>
      <c r="B85" s="7">
        <v>-592349</v>
      </c>
      <c r="C85" s="7">
        <v>-1001559</v>
      </c>
      <c r="D85" s="7">
        <v>-2425516</v>
      </c>
      <c r="E85" s="2" t="s">
        <v>35</v>
      </c>
      <c r="F85" s="2" t="s">
        <v>36</v>
      </c>
    </row>
    <row r="86" spans="1:6" ht="15" customHeight="1" x14ac:dyDescent="0.35">
      <c r="A86" s="2" t="s">
        <v>112</v>
      </c>
      <c r="B86" s="7">
        <v>-69146</v>
      </c>
      <c r="C86" s="7">
        <v>-74229</v>
      </c>
      <c r="D86" s="7">
        <v>-49458</v>
      </c>
      <c r="E86" s="2" t="s">
        <v>35</v>
      </c>
      <c r="F86" s="2" t="s">
        <v>36</v>
      </c>
    </row>
    <row r="87" spans="1:6" ht="15" customHeight="1" x14ac:dyDescent="0.35">
      <c r="A87" s="2" t="s">
        <v>113</v>
      </c>
      <c r="B87" s="7">
        <v>843</v>
      </c>
      <c r="C87" s="7">
        <v>2089</v>
      </c>
      <c r="D87" s="7">
        <v>4076</v>
      </c>
      <c r="E87" s="2" t="s">
        <v>35</v>
      </c>
      <c r="F87" s="2" t="s">
        <v>36</v>
      </c>
    </row>
    <row r="88" spans="1:6" ht="15" customHeight="1" x14ac:dyDescent="0.35">
      <c r="A88" s="3" t="s">
        <v>114</v>
      </c>
      <c r="B88" s="8">
        <f>SUM(B85:B87)</f>
        <v>-660652</v>
      </c>
      <c r="C88" s="8">
        <f>SUM(C85:C87)</f>
        <v>-1073699</v>
      </c>
      <c r="D88" s="8">
        <f>SUM(D85:D87)</f>
        <v>-2470898</v>
      </c>
      <c r="E88" s="2" t="s">
        <v>39</v>
      </c>
      <c r="F88" s="2"/>
    </row>
    <row r="89" spans="1:6" ht="15" customHeight="1" x14ac:dyDescent="0.35">
      <c r="A89" s="2" t="s">
        <v>115</v>
      </c>
      <c r="B89" s="7">
        <v>381</v>
      </c>
      <c r="C89" s="7">
        <v>-1635</v>
      </c>
      <c r="D89" s="7">
        <v>-416</v>
      </c>
      <c r="E89" s="2" t="s">
        <v>35</v>
      </c>
      <c r="F89" s="2" t="s">
        <v>36</v>
      </c>
    </row>
    <row r="90" spans="1:6" ht="15" customHeight="1" x14ac:dyDescent="0.35">
      <c r="A90" s="3" t="s">
        <v>116</v>
      </c>
      <c r="B90" s="8">
        <f>B79+B84+B88+B89</f>
        <v>177197</v>
      </c>
      <c r="C90" s="8">
        <f>C79+C84+C88+C89</f>
        <v>192216</v>
      </c>
      <c r="D90" s="8">
        <f>D79+D84+D88+D89</f>
        <v>-392470</v>
      </c>
      <c r="E90" s="2" t="s">
        <v>39</v>
      </c>
      <c r="F90" s="2"/>
    </row>
    <row r="91" spans="1:6" ht="15" customHeight="1" x14ac:dyDescent="0.35">
      <c r="A91" s="2" t="s">
        <v>117</v>
      </c>
      <c r="B91" s="7">
        <v>408966</v>
      </c>
      <c r="C91" s="7">
        <v>586163</v>
      </c>
      <c r="D91" s="7">
        <v>778379</v>
      </c>
      <c r="E91" s="2" t="s">
        <v>35</v>
      </c>
      <c r="F91" s="2" t="s">
        <v>36</v>
      </c>
    </row>
    <row r="92" spans="1:6" ht="15" customHeight="1" x14ac:dyDescent="0.35">
      <c r="A92" s="3" t="s">
        <v>118</v>
      </c>
      <c r="B92" s="8">
        <f>B91+B90</f>
        <v>586163</v>
      </c>
      <c r="C92" s="8">
        <f>C91+C90</f>
        <v>778379</v>
      </c>
      <c r="D92" s="8">
        <f>D91+D90</f>
        <v>385909</v>
      </c>
      <c r="E92" s="2" t="s">
        <v>39</v>
      </c>
      <c r="F92" s="2"/>
    </row>
    <row r="94" spans="1:6" ht="15" customHeight="1" x14ac:dyDescent="0.35">
      <c r="A94" s="3" t="s">
        <v>119</v>
      </c>
    </row>
    <row r="95" spans="1:6" ht="15" customHeight="1" x14ac:dyDescent="0.35">
      <c r="A95" s="2" t="s">
        <v>120</v>
      </c>
      <c r="B95" s="7">
        <v>3187</v>
      </c>
      <c r="C95" s="7">
        <v>3437</v>
      </c>
      <c r="D95" s="7">
        <v>3726</v>
      </c>
      <c r="E95" s="2" t="s">
        <v>35</v>
      </c>
      <c r="F95" s="2" t="s">
        <v>121</v>
      </c>
    </row>
    <row r="96" spans="1:6" ht="15" customHeight="1" x14ac:dyDescent="0.35">
      <c r="A96" s="2" t="s">
        <v>122</v>
      </c>
      <c r="B96" s="7">
        <v>271</v>
      </c>
      <c r="C96" s="7">
        <v>304</v>
      </c>
      <c r="D96" s="7">
        <v>334</v>
      </c>
      <c r="E96" s="2" t="s">
        <v>35</v>
      </c>
      <c r="F96" s="2" t="s">
        <v>121</v>
      </c>
    </row>
    <row r="97" spans="1:6" ht="15" customHeight="1" x14ac:dyDescent="0.35">
      <c r="A97" s="2" t="s">
        <v>123</v>
      </c>
      <c r="B97" s="7">
        <v>-9</v>
      </c>
      <c r="C97" s="7">
        <v>-7</v>
      </c>
      <c r="D97" s="7">
        <v>-13</v>
      </c>
      <c r="E97" s="2" t="s">
        <v>35</v>
      </c>
      <c r="F97" s="2" t="s">
        <v>124</v>
      </c>
    </row>
    <row r="98" spans="1:6" ht="15" customHeight="1" x14ac:dyDescent="0.35">
      <c r="A98" s="2" t="s">
        <v>125</v>
      </c>
      <c r="B98" s="7">
        <v>-12</v>
      </c>
      <c r="C98" s="7">
        <v>-8</v>
      </c>
      <c r="D98" s="7">
        <v>-5</v>
      </c>
      <c r="E98" s="2" t="s">
        <v>35</v>
      </c>
      <c r="F98" s="2" t="s">
        <v>121</v>
      </c>
    </row>
    <row r="99" spans="1:6" ht="15" customHeight="1" x14ac:dyDescent="0.35">
      <c r="A99" s="2" t="s">
        <v>126</v>
      </c>
      <c r="B99" s="7">
        <v>3437</v>
      </c>
      <c r="C99" s="7">
        <v>3726</v>
      </c>
      <c r="D99" s="7">
        <v>4042</v>
      </c>
      <c r="E99" s="2" t="s">
        <v>35</v>
      </c>
      <c r="F99" s="2" t="s">
        <v>127</v>
      </c>
    </row>
    <row r="100" spans="1:6" ht="15" customHeight="1" x14ac:dyDescent="0.35">
      <c r="A100" s="2" t="s">
        <v>128</v>
      </c>
      <c r="B100" s="10">
        <f>IF(B95="","",AVERAGE(B95,B99))</f>
        <v>3312</v>
      </c>
      <c r="C100" s="10">
        <f>IF(C95="","",AVERAGE(C95,C99))</f>
        <v>3581.5</v>
      </c>
      <c r="D100" s="10">
        <f>IF(D95="","",AVERAGE(D95,D99))</f>
        <v>3884</v>
      </c>
      <c r="E100" s="2" t="s">
        <v>39</v>
      </c>
      <c r="F100" s="2"/>
    </row>
    <row r="101" spans="1:6" ht="15" customHeight="1" x14ac:dyDescent="0.35">
      <c r="A101" s="2" t="s">
        <v>129</v>
      </c>
      <c r="B101" s="7">
        <v>3018</v>
      </c>
      <c r="C101" s="7">
        <v>3213</v>
      </c>
      <c r="D101" s="7">
        <v>3104</v>
      </c>
      <c r="E101" s="2" t="s">
        <v>35</v>
      </c>
      <c r="F101" s="2" t="s">
        <v>127</v>
      </c>
    </row>
    <row r="102" spans="1:6" ht="15" customHeight="1" x14ac:dyDescent="0.35">
      <c r="A102" s="2" t="s">
        <v>130</v>
      </c>
      <c r="B102" s="11">
        <v>7.9000000000000001E-2</v>
      </c>
      <c r="C102" s="11">
        <v>7.3999999999999996E-2</v>
      </c>
      <c r="D102" s="11">
        <v>-1.7000000000000001E-2</v>
      </c>
      <c r="E102" s="2" t="s">
        <v>35</v>
      </c>
      <c r="F102" s="2" t="s">
        <v>131</v>
      </c>
    </row>
    <row r="103" spans="1:6" ht="15" customHeight="1" x14ac:dyDescent="0.35">
      <c r="A103" s="2" t="s">
        <v>132</v>
      </c>
      <c r="B103" s="11">
        <v>0.05</v>
      </c>
      <c r="C103" s="11">
        <v>5.2999999999999999E-2</v>
      </c>
      <c r="D103" s="11">
        <v>-2.9000000000000001E-2</v>
      </c>
      <c r="E103" s="2" t="s">
        <v>35</v>
      </c>
      <c r="F103" s="2" t="s">
        <v>131</v>
      </c>
    </row>
    <row r="104" spans="1:6" ht="15" customHeight="1" x14ac:dyDescent="0.35">
      <c r="A104" s="2" t="s">
        <v>133</v>
      </c>
      <c r="B104" s="11">
        <v>2.9000000000000001E-2</v>
      </c>
      <c r="C104" s="11">
        <v>2.1000000000000001E-2</v>
      </c>
      <c r="D104" s="11">
        <v>1.2E-2</v>
      </c>
      <c r="E104" s="2" t="s">
        <v>35</v>
      </c>
      <c r="F104" s="2" t="s">
        <v>131</v>
      </c>
    </row>
    <row r="105" spans="1:6" ht="15" customHeight="1" x14ac:dyDescent="0.35">
      <c r="A105" s="2" t="s">
        <v>134</v>
      </c>
      <c r="B105" s="11">
        <v>5.1999999999999998E-2</v>
      </c>
      <c r="C105" s="11">
        <v>2.9000000000000001E-2</v>
      </c>
      <c r="D105" s="12"/>
      <c r="E105" s="2" t="s">
        <v>35</v>
      </c>
      <c r="F105" s="2" t="s">
        <v>131</v>
      </c>
    </row>
    <row r="106" spans="1:6" ht="15" customHeight="1" x14ac:dyDescent="0.35">
      <c r="A106" s="2" t="s">
        <v>135</v>
      </c>
      <c r="B106" s="11">
        <v>-2.3E-2</v>
      </c>
      <c r="C106" s="11">
        <v>-8.0000000000000002E-3</v>
      </c>
      <c r="D106" s="12"/>
      <c r="E106" s="2" t="s">
        <v>35</v>
      </c>
      <c r="F106" s="2" t="s">
        <v>131</v>
      </c>
    </row>
    <row r="108" spans="1:6" ht="15" customHeight="1" x14ac:dyDescent="0.35">
      <c r="A108" s="2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opLeftCell="A35" zoomScaleNormal="100" workbookViewId="0"/>
  </sheetViews>
  <sheetFormatPr defaultColWidth="8.6328125" defaultRowHeight="14.5" x14ac:dyDescent="0.35"/>
  <cols>
    <col min="1" max="1" width="48" customWidth="1"/>
    <col min="2" max="4" width="14" customWidth="1"/>
    <col min="5" max="5" width="60" customWidth="1"/>
  </cols>
  <sheetData>
    <row r="1" spans="1:5" ht="15" customHeight="1" x14ac:dyDescent="0.35">
      <c r="A1" s="1" t="s">
        <v>137</v>
      </c>
    </row>
    <row r="2" spans="1:5" ht="15" customHeight="1" x14ac:dyDescent="0.35">
      <c r="A2" s="2" t="s">
        <v>138</v>
      </c>
    </row>
    <row r="4" spans="1:5" ht="15" customHeight="1" x14ac:dyDescent="0.35">
      <c r="A4" s="4" t="s">
        <v>139</v>
      </c>
      <c r="B4" s="5" t="s">
        <v>8</v>
      </c>
      <c r="C4" s="5" t="s">
        <v>9</v>
      </c>
      <c r="D4" s="5" t="s">
        <v>10</v>
      </c>
      <c r="E4" s="5" t="s">
        <v>140</v>
      </c>
    </row>
    <row r="6" spans="1:5" ht="15" customHeight="1" x14ac:dyDescent="0.35">
      <c r="A6" s="3" t="s">
        <v>141</v>
      </c>
    </row>
    <row r="7" spans="1:5" ht="15" customHeight="1" x14ac:dyDescent="0.35">
      <c r="A7" s="2" t="s">
        <v>142</v>
      </c>
      <c r="B7" s="13" t="str">
        <f>""</f>
        <v/>
      </c>
      <c r="C7" s="13">
        <f>Historicals!C9/Historicals!B9-1</f>
        <v>0.14609555100672633</v>
      </c>
      <c r="D7" s="13">
        <f>Historicals!D9/Historicals!C9-1</f>
        <v>5.4070704294991279E-2</v>
      </c>
      <c r="E7" s="2"/>
    </row>
    <row r="8" spans="1:5" ht="15" customHeight="1" x14ac:dyDescent="0.35">
      <c r="A8" s="2" t="s">
        <v>143</v>
      </c>
      <c r="B8" s="13">
        <f>Historicals!B10/Historicals!B9</f>
        <v>0.29504331039322812</v>
      </c>
      <c r="C8" s="13">
        <f>Historicals!C10/Historicals!C9</f>
        <v>0.29826408386250025</v>
      </c>
      <c r="D8" s="13">
        <f>Historicals!D10/Historicals!D9</f>
        <v>0.29574962301690289</v>
      </c>
      <c r="E8" s="2"/>
    </row>
    <row r="9" spans="1:5" ht="15" customHeight="1" x14ac:dyDescent="0.35">
      <c r="A9" s="2" t="s">
        <v>144</v>
      </c>
      <c r="B9" s="13">
        <f>Historicals!B11/Historicals!B9</f>
        <v>0.247271960338136</v>
      </c>
      <c r="C9" s="13">
        <f>Historicals!C11/Historicals!C9</f>
        <v>0.24658169060531368</v>
      </c>
      <c r="D9" s="13">
        <f>Historicals!D11/Historicals!D9</f>
        <v>0.25086199010012156</v>
      </c>
      <c r="E9" s="2"/>
    </row>
    <row r="10" spans="1:5" ht="15" customHeight="1" x14ac:dyDescent="0.35">
      <c r="A10" s="2" t="s">
        <v>145</v>
      </c>
      <c r="B10" s="13">
        <f>Historicals!B12/Historicals!B9</f>
        <v>5.09807429336274E-2</v>
      </c>
      <c r="C10" s="13">
        <f>Historicals!C12/Historicals!C9</f>
        <v>4.9795060975248662E-2</v>
      </c>
      <c r="D10" s="13">
        <f>Historicals!D12/Historicals!D9</f>
        <v>5.2399707151027444E-2</v>
      </c>
      <c r="E10" s="2"/>
    </row>
    <row r="11" spans="1:5" ht="15" customHeight="1" x14ac:dyDescent="0.35">
      <c r="A11" s="2" t="s">
        <v>146</v>
      </c>
      <c r="B11" s="13">
        <f>Historicals!B13/Historicals!B9</f>
        <v>0.1447323542399046</v>
      </c>
      <c r="C11" s="13">
        <f>Historicals!C13/Historicals!C9</f>
        <v>0.1386337616371717</v>
      </c>
      <c r="D11" s="13">
        <f>Historicals!D13/Historicals!D9</f>
        <v>0.14723148963310109</v>
      </c>
      <c r="E11" s="2"/>
    </row>
    <row r="12" spans="1:5" ht="15" customHeight="1" x14ac:dyDescent="0.35">
      <c r="A12" s="3" t="s">
        <v>147</v>
      </c>
      <c r="B12" s="13">
        <f>(Historicals!B9-Historicals!B10-Historicals!B11-Historicals!B12-Historicals!B13)/Historicals!B9</f>
        <v>0.26197163209510388</v>
      </c>
      <c r="C12" s="13">
        <f>(Historicals!C9-Historicals!C10-Historicals!C11-Historicals!C12-Historicals!C13)/Historicals!C9</f>
        <v>0.26672540291976571</v>
      </c>
      <c r="D12" s="13">
        <f>(Historicals!D9-Historicals!D10-Historicals!D11-Historicals!D12-Historicals!D13)/Historicals!D9</f>
        <v>0.25375719009884701</v>
      </c>
      <c r="E12" s="2"/>
    </row>
    <row r="13" spans="1:5" ht="15" customHeight="1" x14ac:dyDescent="0.35">
      <c r="A13" s="2" t="s">
        <v>148</v>
      </c>
      <c r="B13" s="13">
        <f>Historicals!B14/Historicals!B9</f>
        <v>6.4182184759608046E-2</v>
      </c>
      <c r="C13" s="13">
        <f>Historicals!C14/Historicals!C9</f>
        <v>6.1648582494398682E-2</v>
      </c>
      <c r="D13" s="13">
        <f>Historicals!D14/Historicals!D9</f>
        <v>5.4673722523502173E-2</v>
      </c>
      <c r="E13" s="2"/>
    </row>
    <row r="14" spans="1:5" ht="15" customHeight="1" x14ac:dyDescent="0.35">
      <c r="A14" s="3" t="s">
        <v>149</v>
      </c>
      <c r="B14" s="13">
        <f>Historicals!B19/Historicals!B9</f>
        <v>0.15780676561737558</v>
      </c>
      <c r="C14" s="13">
        <f>Historicals!C19/Historicals!C9</f>
        <v>0.16937934406607547</v>
      </c>
      <c r="D14" s="13">
        <f>Historicals!D19/Historicals!D9</f>
        <v>0.16232288838105519</v>
      </c>
      <c r="E14" s="2"/>
    </row>
    <row r="15" spans="1:5" ht="15" customHeight="1" x14ac:dyDescent="0.35">
      <c r="A15" s="2" t="s">
        <v>150</v>
      </c>
      <c r="B15" s="13">
        <f>Historicals!B22/Historicals!B21</f>
        <v>0.24175720423127098</v>
      </c>
      <c r="C15" s="13">
        <f>Historicals!C22/Historicals!C21</f>
        <v>0.23684851982111499</v>
      </c>
      <c r="D15" s="13">
        <f>Historicals!D22/Historicals!D21</f>
        <v>0.23575691496323251</v>
      </c>
      <c r="E15" s="2"/>
    </row>
    <row r="16" spans="1:5" ht="15" customHeight="1" x14ac:dyDescent="0.35">
      <c r="A16" s="2" t="s">
        <v>151</v>
      </c>
      <c r="B16" s="13">
        <f>Historicals!B23/Historicals!B9</f>
        <v>0.12447130160320732</v>
      </c>
      <c r="C16" s="13">
        <f>Historicals!C23/Historicals!C9</f>
        <v>0.13559571615434635</v>
      </c>
      <c r="D16" s="13">
        <f>Historicals!D23/Historicals!D9</f>
        <v>0.12877849929743582</v>
      </c>
      <c r="E16" s="2"/>
    </row>
    <row r="18" spans="1:5" ht="15" customHeight="1" x14ac:dyDescent="0.35">
      <c r="A18" s="3" t="s">
        <v>152</v>
      </c>
    </row>
    <row r="19" spans="1:5" ht="15" customHeight="1" x14ac:dyDescent="0.35">
      <c r="A19" s="2" t="s">
        <v>153</v>
      </c>
      <c r="B19" s="14">
        <f>IF(Historicals!B100="","",Historicals!B9/Historicals!B100)</f>
        <v>2980.5703502415458</v>
      </c>
      <c r="C19" s="14">
        <f>IF(Historicals!C100="","",Historicals!C9/Historicals!C100)</f>
        <v>3158.9705430685467</v>
      </c>
      <c r="D19" s="14">
        <f>IF(Historicals!D100="","",Historicals!D9/Historicals!D100)</f>
        <v>3070.4430998970133</v>
      </c>
      <c r="E19" s="2"/>
    </row>
    <row r="20" spans="1:5" ht="15" customHeight="1" x14ac:dyDescent="0.35">
      <c r="A20" s="2" t="s">
        <v>154</v>
      </c>
      <c r="B20" s="14">
        <f>IF(Historicals!B100="","",Historicals!B12/Historicals!B100)</f>
        <v>151.95169082125605</v>
      </c>
      <c r="C20" s="14">
        <f>IF(Historicals!C100="","",Historicals!C12/Historicals!C100)</f>
        <v>157.30113081111267</v>
      </c>
      <c r="D20" s="14">
        <f>IF(Historicals!D100="","",Historicals!D12/Historicals!D100)</f>
        <v>160.89031925849639</v>
      </c>
      <c r="E20" s="2"/>
    </row>
    <row r="21" spans="1:5" ht="15" customHeight="1" x14ac:dyDescent="0.35">
      <c r="A21" s="2" t="s">
        <v>155</v>
      </c>
      <c r="B21" s="15">
        <f>IF(Historicals!B96="","",Historicals!B16/Historicals!B96)</f>
        <v>136.27675276752768</v>
      </c>
      <c r="C21" s="15">
        <f>IF(Historicals!C96="","",Historicals!C16/Historicals!C96)</f>
        <v>137.81907894736841</v>
      </c>
      <c r="D21" s="15">
        <f>IF(Historicals!D96="","",Historicals!D16/Historicals!D96)</f>
        <v>148.2245508982036</v>
      </c>
      <c r="E21" s="2"/>
    </row>
    <row r="22" spans="1:5" ht="15" customHeight="1" x14ac:dyDescent="0.35">
      <c r="A22" s="2" t="s">
        <v>156</v>
      </c>
      <c r="B22" s="14">
        <f>IF(Historicals!B96="","",-Historicals!B80/Historicals!B96)</f>
        <v>2069.1180811808117</v>
      </c>
      <c r="C22" s="14">
        <f>IF(Historicals!C96="","",-Historicals!C80/Historicals!C96)</f>
        <v>1952.641447368421</v>
      </c>
      <c r="D22" s="14">
        <f>IF(Historicals!D96="","",-Historicals!D80/Historicals!D96)</f>
        <v>1995.0179640718563</v>
      </c>
      <c r="E22" s="2"/>
    </row>
    <row r="23" spans="1:5" ht="15" customHeight="1" x14ac:dyDescent="0.35">
      <c r="A23" s="2" t="s">
        <v>157</v>
      </c>
      <c r="B23" s="13">
        <f>IF(Historicals!B103="","",Historicals!B103+Historicals!B104)</f>
        <v>7.9000000000000001E-2</v>
      </c>
      <c r="C23" s="13">
        <f>IF(Historicals!C103="","",Historicals!C103+Historicals!C104)</f>
        <v>7.3999999999999996E-2</v>
      </c>
      <c r="D23" s="13">
        <f>IF(Historicals!D103="","",Historicals!D103+Historicals!D104)</f>
        <v>-1.7000000000000001E-2</v>
      </c>
      <c r="E23" s="2"/>
    </row>
    <row r="25" spans="1:5" ht="15" customHeight="1" x14ac:dyDescent="0.35">
      <c r="A25" s="3" t="s">
        <v>158</v>
      </c>
    </row>
    <row r="26" spans="1:5" ht="15" customHeight="1" x14ac:dyDescent="0.35">
      <c r="A26" s="2" t="s">
        <v>159</v>
      </c>
      <c r="B26" s="15">
        <f>Historicals!B27/Historicals!B9*365</f>
        <v>4.2718572145342684</v>
      </c>
      <c r="C26" s="15">
        <f>Historicals!C27/Historicals!C9*365</f>
        <v>4.6444385480348735</v>
      </c>
      <c r="D26" s="15">
        <f>Historicals!D27/Historicals!D9*365</f>
        <v>4.7888647289138717</v>
      </c>
      <c r="E26" s="2"/>
    </row>
    <row r="27" spans="1:5" ht="15" customHeight="1" x14ac:dyDescent="0.35">
      <c r="A27" s="2" t="s">
        <v>160</v>
      </c>
      <c r="B27" s="15">
        <f>Historicals!B28/Historicals!B10*365</f>
        <v>4.9261698627051622</v>
      </c>
      <c r="C27" s="15">
        <f>Historicals!C28/Historicals!C10*365</f>
        <v>5.2937458290314821</v>
      </c>
      <c r="D27" s="15">
        <f>Historicals!D28/Historicals!D10*365</f>
        <v>5.123464980924255</v>
      </c>
      <c r="E27" s="2"/>
    </row>
    <row r="28" spans="1:5" ht="15" customHeight="1" x14ac:dyDescent="0.35">
      <c r="A28" s="2" t="s">
        <v>161</v>
      </c>
      <c r="B28" s="15">
        <f>Historicals!B41/Historicals!B10*365</f>
        <v>24.768825680740406</v>
      </c>
      <c r="C28" s="15">
        <f>Historicals!C41/Historicals!C10*365</f>
        <v>22.789542263246048</v>
      </c>
      <c r="D28" s="15">
        <f>Historicals!D41/Historicals!D10*365</f>
        <v>22.023510402064989</v>
      </c>
      <c r="E28" s="2"/>
    </row>
    <row r="29" spans="1:5" ht="15" customHeight="1" x14ac:dyDescent="0.35">
      <c r="A29" s="2" t="s">
        <v>162</v>
      </c>
      <c r="B29" s="13">
        <f>Historicals!B44/Historicals!B9</f>
        <v>2.1240625553035769E-2</v>
      </c>
      <c r="C29" s="13">
        <f>Historicals!C44/Historicals!C9</f>
        <v>2.1087157487374105E-2</v>
      </c>
      <c r="D29" s="13">
        <f>Historicals!D44/Historicals!D9</f>
        <v>2.0156216864877501E-2</v>
      </c>
      <c r="E29" s="2"/>
    </row>
    <row r="30" spans="1:5" ht="15" customHeight="1" x14ac:dyDescent="0.35">
      <c r="A30" s="3" t="s">
        <v>163</v>
      </c>
      <c r="B30" s="14">
        <f>Historicals!B27+Historicals!B28+Historicals!B29-Historicals!B41-Historicals!B42-Historicals!B43-Historicals!B44</f>
        <v>-510245</v>
      </c>
      <c r="C30" s="14">
        <f>Historicals!C27+Historicals!C28+Historicals!C29-Historicals!C41-Historicals!C42-Historicals!C43-Historicals!C44</f>
        <v>-600489</v>
      </c>
      <c r="D30" s="14">
        <f>Historicals!D27+Historicals!D28+Historicals!D29-Historicals!D41-Historicals!D42-Historicals!D43-Historicals!D44</f>
        <v>-559338</v>
      </c>
      <c r="E30" s="2"/>
    </row>
    <row r="31" spans="1:5" ht="15" customHeight="1" x14ac:dyDescent="0.35">
      <c r="A31" s="2" t="s">
        <v>164</v>
      </c>
      <c r="B31" s="13" t="str">
        <f>""</f>
        <v/>
      </c>
      <c r="C31" s="13">
        <f>Historicals!C15/Historicals!B33</f>
        <v>0.15438900148292334</v>
      </c>
      <c r="D31" s="13">
        <f>Historicals!D15/Historicals!C33</f>
        <v>0.15119788663861236</v>
      </c>
      <c r="E31" s="2"/>
    </row>
    <row r="32" spans="1:5" ht="15" customHeight="1" x14ac:dyDescent="0.35">
      <c r="A32" s="2" t="s">
        <v>165</v>
      </c>
      <c r="B32" s="16">
        <f>Historicals!B79/Historicals!B23</f>
        <v>1.4514717144515059</v>
      </c>
      <c r="C32" s="16">
        <f>Historicals!C79/Historicals!C23</f>
        <v>1.3721806128634844</v>
      </c>
      <c r="D32" s="16">
        <f>Historicals!D79/Historicals!D23</f>
        <v>1.3764680832499328</v>
      </c>
      <c r="E32" s="2"/>
    </row>
    <row r="33" spans="1:5" ht="15" customHeight="1" x14ac:dyDescent="0.35">
      <c r="A33" s="3" t="s">
        <v>166</v>
      </c>
      <c r="B33" s="14">
        <f>Historicals!B79+Historicals!B80</f>
        <v>1222746</v>
      </c>
      <c r="C33" s="14">
        <f>Historicals!C79+Historicals!C80</f>
        <v>1511473</v>
      </c>
      <c r="D33" s="14">
        <f>Historicals!D79+Historicals!D80</f>
        <v>1447590</v>
      </c>
      <c r="E33" s="2"/>
    </row>
    <row r="34" spans="1:5" ht="15" customHeight="1" x14ac:dyDescent="0.35">
      <c r="A34" s="2" t="s">
        <v>167</v>
      </c>
      <c r="B34" s="13">
        <f>-Historicals!B85/(Historicals!B79+Historicals!B80)</f>
        <v>0.48444157658254455</v>
      </c>
      <c r="C34" s="13">
        <f>-Historicals!C85/(Historicals!C79+Historicals!C80)</f>
        <v>0.66263770507313069</v>
      </c>
      <c r="D34" s="13">
        <f>-Historicals!D85/(Historicals!D79+Historicals!D80)</f>
        <v>1.6755545423773306</v>
      </c>
      <c r="E34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opLeftCell="A2" zoomScaleNormal="100" workbookViewId="0"/>
  </sheetViews>
  <sheetFormatPr defaultColWidth="8.6328125" defaultRowHeight="14.5" x14ac:dyDescent="0.35"/>
  <sheetData>
    <row r="1" spans="1:6" ht="15" customHeight="1" x14ac:dyDescent="0.35">
      <c r="A1" s="1" t="s">
        <v>168</v>
      </c>
    </row>
    <row r="2" spans="1:6" ht="15" customHeight="1" x14ac:dyDescent="0.35">
      <c r="A2" s="2" t="s">
        <v>169</v>
      </c>
    </row>
    <row r="4" spans="1:6" ht="15" customHeight="1" x14ac:dyDescent="0.35">
      <c r="A4" s="4" t="s">
        <v>170</v>
      </c>
      <c r="B4" s="5" t="s">
        <v>171</v>
      </c>
      <c r="C4" s="5" t="s">
        <v>172</v>
      </c>
      <c r="D4" s="5" t="s">
        <v>173</v>
      </c>
      <c r="E4" s="5" t="s">
        <v>31</v>
      </c>
      <c r="F4" s="5" t="s">
        <v>174</v>
      </c>
    </row>
    <row r="5" spans="1:6" ht="15" customHeight="1" x14ac:dyDescent="0.35">
      <c r="A5" s="3" t="s">
        <v>175</v>
      </c>
    </row>
    <row r="6" spans="1:6" ht="15" customHeight="1" x14ac:dyDescent="0.35">
      <c r="A6" s="2" t="s">
        <v>176</v>
      </c>
      <c r="B6" s="12"/>
      <c r="C6" s="12"/>
      <c r="D6" s="13">
        <f>D7+D8</f>
        <v>3.5000000000000003E-2</v>
      </c>
      <c r="E6" s="2" t="s">
        <v>177</v>
      </c>
      <c r="F6" s="2" t="s">
        <v>178</v>
      </c>
    </row>
    <row r="7" spans="1:6" ht="15" customHeight="1" x14ac:dyDescent="0.35">
      <c r="A7" s="2" t="s">
        <v>179</v>
      </c>
      <c r="B7" s="12"/>
      <c r="C7" s="12"/>
      <c r="D7" s="11">
        <v>0.02</v>
      </c>
      <c r="E7" s="2" t="s">
        <v>177</v>
      </c>
      <c r="F7" s="2" t="s">
        <v>180</v>
      </c>
    </row>
    <row r="8" spans="1:6" ht="15" customHeight="1" x14ac:dyDescent="0.35">
      <c r="A8" s="2" t="s">
        <v>181</v>
      </c>
      <c r="B8" s="12"/>
      <c r="C8" s="12"/>
      <c r="D8" s="11">
        <v>1.4999999999999999E-2</v>
      </c>
      <c r="E8" s="2" t="s">
        <v>177</v>
      </c>
      <c r="F8" s="2" t="s">
        <v>182</v>
      </c>
    </row>
    <row r="9" spans="1:6" ht="15" customHeight="1" x14ac:dyDescent="0.35">
      <c r="A9" s="2" t="s">
        <v>183</v>
      </c>
      <c r="B9" s="7">
        <v>315</v>
      </c>
      <c r="C9" s="7">
        <v>345</v>
      </c>
      <c r="D9" s="14">
        <f>AVERAGE(B9:C9)</f>
        <v>330</v>
      </c>
      <c r="E9" s="2" t="s">
        <v>35</v>
      </c>
      <c r="F9" s="2" t="s">
        <v>184</v>
      </c>
    </row>
    <row r="10" spans="1:6" ht="15" customHeight="1" x14ac:dyDescent="0.35">
      <c r="A10" s="2" t="s">
        <v>185</v>
      </c>
      <c r="B10" s="11">
        <v>0.25</v>
      </c>
      <c r="C10" s="11">
        <v>0.27</v>
      </c>
      <c r="D10" s="13">
        <f>AVERAGE(B10:C10)</f>
        <v>0.26</v>
      </c>
      <c r="E10" s="2" t="s">
        <v>35</v>
      </c>
      <c r="F10" s="2" t="s">
        <v>184</v>
      </c>
    </row>
    <row r="11" spans="1:6" ht="15" customHeight="1" x14ac:dyDescent="0.35">
      <c r="A11" s="2" t="s">
        <v>143</v>
      </c>
      <c r="B11" s="12"/>
      <c r="C11" s="12"/>
      <c r="D11" s="11">
        <v>0.30299999999999999</v>
      </c>
      <c r="E11" s="2" t="s">
        <v>177</v>
      </c>
      <c r="F11" s="2" t="s">
        <v>186</v>
      </c>
    </row>
    <row r="12" spans="1:6" ht="15" customHeight="1" x14ac:dyDescent="0.35">
      <c r="A12" s="2" t="s">
        <v>144</v>
      </c>
      <c r="B12" s="12"/>
      <c r="C12" s="12"/>
      <c r="D12" s="11">
        <v>0.252</v>
      </c>
      <c r="E12" s="2" t="s">
        <v>177</v>
      </c>
      <c r="F12" s="2" t="s">
        <v>187</v>
      </c>
    </row>
    <row r="13" spans="1:6" ht="15" customHeight="1" x14ac:dyDescent="0.35">
      <c r="A13" s="2" t="s">
        <v>154</v>
      </c>
      <c r="B13" s="6"/>
      <c r="C13" s="6"/>
      <c r="D13" s="15">
        <f>'FY25 Plan vs Actual'!$B$44</f>
        <v>162.02016473544606</v>
      </c>
      <c r="E13" s="2" t="s">
        <v>177</v>
      </c>
      <c r="F13" s="2" t="s">
        <v>188</v>
      </c>
    </row>
    <row r="14" spans="1:6" ht="15" customHeight="1" x14ac:dyDescent="0.35">
      <c r="A14" s="2" t="s">
        <v>146</v>
      </c>
      <c r="B14" s="12"/>
      <c r="C14" s="12"/>
      <c r="D14" s="13">
        <f>Historicals!C13/Historicals!C9</f>
        <v>0.1386337616371717</v>
      </c>
      <c r="E14" s="2" t="s">
        <v>177</v>
      </c>
      <c r="F14" s="2" t="s">
        <v>189</v>
      </c>
    </row>
    <row r="15" spans="1:6" ht="15" customHeight="1" x14ac:dyDescent="0.35">
      <c r="A15" s="2" t="s">
        <v>190</v>
      </c>
      <c r="B15" s="6"/>
      <c r="C15" s="6"/>
      <c r="D15" s="14">
        <f>'FY25 Plan vs Actual'!B10</f>
        <v>732357.15</v>
      </c>
      <c r="E15" s="2" t="s">
        <v>177</v>
      </c>
      <c r="F15" s="2" t="s">
        <v>191</v>
      </c>
    </row>
    <row r="17" spans="1:6" ht="15" customHeight="1" x14ac:dyDescent="0.35">
      <c r="A17" s="3" t="s">
        <v>192</v>
      </c>
    </row>
    <row r="18" spans="1:6" ht="15" customHeight="1" x14ac:dyDescent="0.35">
      <c r="A18" s="2" t="s">
        <v>193</v>
      </c>
      <c r="B18" s="11">
        <v>0</v>
      </c>
      <c r="C18" s="11">
        <v>0</v>
      </c>
      <c r="D18" s="13">
        <f>AVERAGE(B18:C18)</f>
        <v>0</v>
      </c>
      <c r="E18" s="2" t="s">
        <v>35</v>
      </c>
      <c r="F18" s="2" t="s">
        <v>194</v>
      </c>
    </row>
    <row r="19" spans="1:6" ht="15" customHeight="1" x14ac:dyDescent="0.35">
      <c r="A19" s="2" t="s">
        <v>195</v>
      </c>
      <c r="B19" s="7">
        <v>350</v>
      </c>
      <c r="C19" s="7">
        <v>370</v>
      </c>
      <c r="D19" s="14">
        <f>AVERAGE(B19:C19)</f>
        <v>360</v>
      </c>
      <c r="E19" s="2" t="s">
        <v>35</v>
      </c>
      <c r="F19" s="2" t="s">
        <v>196</v>
      </c>
    </row>
    <row r="20" spans="1:6" ht="15" customHeight="1" x14ac:dyDescent="0.35">
      <c r="A20" s="2" t="s">
        <v>185</v>
      </c>
      <c r="B20" s="11">
        <v>0.24</v>
      </c>
      <c r="C20" s="11">
        <v>0.26</v>
      </c>
      <c r="D20" s="13">
        <f>AVERAGE(B20:C20)</f>
        <v>0.25</v>
      </c>
      <c r="E20" s="2" t="s">
        <v>35</v>
      </c>
      <c r="F20" s="2" t="s"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topLeftCell="A23" zoomScaleNormal="100" workbookViewId="0"/>
  </sheetViews>
  <sheetFormatPr defaultColWidth="8.6328125" defaultRowHeight="14.5" x14ac:dyDescent="0.35"/>
  <cols>
    <col min="1" max="1" width="46" customWidth="1"/>
    <col min="2" max="7" width="14" customWidth="1"/>
    <col min="8" max="8" width="70" customWidth="1"/>
  </cols>
  <sheetData>
    <row r="1" spans="1:8" ht="15" customHeight="1" x14ac:dyDescent="0.35">
      <c r="A1" s="1" t="s">
        <v>197</v>
      </c>
    </row>
    <row r="2" spans="1:8" ht="15" customHeight="1" x14ac:dyDescent="0.35">
      <c r="A2" s="2" t="s">
        <v>198</v>
      </c>
    </row>
    <row r="4" spans="1:8" ht="15" customHeight="1" x14ac:dyDescent="0.35">
      <c r="A4" s="4" t="s">
        <v>199</v>
      </c>
      <c r="B4" s="5" t="s">
        <v>200</v>
      </c>
      <c r="C4" s="5" t="s">
        <v>201</v>
      </c>
      <c r="D4" s="5" t="s">
        <v>202</v>
      </c>
      <c r="E4" s="5" t="s">
        <v>203</v>
      </c>
      <c r="F4" s="5" t="s">
        <v>204</v>
      </c>
      <c r="G4" s="5" t="s">
        <v>205</v>
      </c>
      <c r="H4" s="5" t="s">
        <v>140</v>
      </c>
    </row>
    <row r="5" spans="1:8" ht="68.25" customHeight="1" x14ac:dyDescent="0.35">
      <c r="A5" s="3" t="s">
        <v>38</v>
      </c>
      <c r="B5" s="17">
        <f>$B$40</f>
        <v>12498914.150288694</v>
      </c>
      <c r="C5" s="14">
        <f>Historicals!D9</f>
        <v>11925601</v>
      </c>
      <c r="D5" s="6">
        <f t="shared" ref="D5:D18" si="0">C5-B5</f>
        <v>-573313.15028869361</v>
      </c>
      <c r="E5" s="12">
        <f t="shared" ref="E5:E17" si="1">IF(B5=0,"",D5/B5)</f>
        <v>-4.586903657350519E-2</v>
      </c>
      <c r="H5" s="18" t="s">
        <v>206</v>
      </c>
    </row>
    <row r="6" spans="1:8" ht="54.75" customHeight="1" x14ac:dyDescent="0.35">
      <c r="A6" s="2" t="s">
        <v>40</v>
      </c>
      <c r="B6" s="14">
        <f>B5*Assumptions!D11</f>
        <v>3787170.9875374739</v>
      </c>
      <c r="C6" s="14">
        <f>Historicals!D10</f>
        <v>3526992</v>
      </c>
      <c r="D6" s="6">
        <f t="shared" si="0"/>
        <v>-260178.98753747391</v>
      </c>
      <c r="E6" s="12">
        <f t="shared" si="1"/>
        <v>-6.8700089959933305E-2</v>
      </c>
      <c r="F6" s="14">
        <f>B6/B5*(C5-B5)</f>
        <v>-173713.88453747416</v>
      </c>
      <c r="G6" s="14">
        <f>(C6/C5-B6/B5)*C5</f>
        <v>-86465.102999999843</v>
      </c>
      <c r="H6" s="18" t="s">
        <v>207</v>
      </c>
    </row>
    <row r="7" spans="1:8" ht="15" customHeight="1" x14ac:dyDescent="0.35">
      <c r="A7" s="2" t="s">
        <v>41</v>
      </c>
      <c r="B7" s="14">
        <f>B5*Assumptions!D12</f>
        <v>3149726.365872751</v>
      </c>
      <c r="C7" s="14">
        <f>Historicals!D11</f>
        <v>2991680</v>
      </c>
      <c r="D7" s="6">
        <f t="shared" si="0"/>
        <v>-158046.36587275099</v>
      </c>
      <c r="E7" s="12">
        <f t="shared" si="1"/>
        <v>-5.0177808328107976E-2</v>
      </c>
      <c r="F7" s="14">
        <f>B7/B5*(C5-B5)</f>
        <v>-144474.9138727508</v>
      </c>
      <c r="G7" s="14">
        <f>(C7/C5-B7/B5)*C5</f>
        <v>-13571.452000000283</v>
      </c>
    </row>
    <row r="8" spans="1:8" ht="15" customHeight="1" x14ac:dyDescent="0.35">
      <c r="A8" s="2" t="s">
        <v>42</v>
      </c>
      <c r="B8" s="14">
        <f>$B$45*$B$44</f>
        <v>630420.46098562062</v>
      </c>
      <c r="C8" s="14">
        <f>Historicals!D12</f>
        <v>624898</v>
      </c>
      <c r="D8" s="6">
        <f t="shared" si="0"/>
        <v>-5522.4609856206225</v>
      </c>
      <c r="E8" s="12">
        <f t="shared" si="1"/>
        <v>-8.7599647019492681E-3</v>
      </c>
      <c r="F8" s="14">
        <f>(Historicals!D100-$B$45)*$B$44</f>
        <v>-1134.1411531481224</v>
      </c>
      <c r="G8" s="14">
        <f>(C8/Historicals!D100-$B$44)*Historicals!D100</f>
        <v>-4388.3198324725126</v>
      </c>
    </row>
    <row r="9" spans="1:8" ht="54.75" customHeight="1" x14ac:dyDescent="0.35">
      <c r="A9" s="2" t="s">
        <v>43</v>
      </c>
      <c r="B9" s="14">
        <f>B5*Assumptions!D14</f>
        <v>1732771.4850345952</v>
      </c>
      <c r="C9" s="14">
        <f>Historicals!D13</f>
        <v>1755824</v>
      </c>
      <c r="D9" s="6">
        <f t="shared" si="0"/>
        <v>23052.514965404756</v>
      </c>
      <c r="E9" s="12">
        <f t="shared" si="1"/>
        <v>1.3303840214651563E-2</v>
      </c>
      <c r="F9" s="14">
        <f>B9/B5*(C5-B5)</f>
        <v>-79480.55862057874</v>
      </c>
      <c r="G9" s="14">
        <f>(C9/C5-B9/B5)*C5</f>
        <v>102533.07358598357</v>
      </c>
      <c r="H9" s="18" t="s">
        <v>208</v>
      </c>
    </row>
    <row r="10" spans="1:8" ht="15" customHeight="1" x14ac:dyDescent="0.35">
      <c r="A10" s="2" t="s">
        <v>44</v>
      </c>
      <c r="B10" s="14">
        <f>Historicals!C14*(1+$B$46)</f>
        <v>732357.15</v>
      </c>
      <c r="C10" s="14">
        <f>Historicals!D14</f>
        <v>652017</v>
      </c>
      <c r="D10" s="6">
        <f t="shared" si="0"/>
        <v>-80340.150000000023</v>
      </c>
      <c r="E10" s="12">
        <f t="shared" si="1"/>
        <v>-0.10970077918949794</v>
      </c>
      <c r="F10" s="14">
        <v>0</v>
      </c>
      <c r="G10" s="14">
        <f>D10</f>
        <v>-80340.150000000023</v>
      </c>
    </row>
    <row r="11" spans="1:8" ht="15" customHeight="1" x14ac:dyDescent="0.35">
      <c r="A11" s="2" t="s">
        <v>45</v>
      </c>
      <c r="B11" s="14">
        <f>Historicals!C33*$B$47</f>
        <v>369009.1665583736</v>
      </c>
      <c r="C11" s="14">
        <f>Historicals!D15</f>
        <v>361382</v>
      </c>
      <c r="D11" s="6">
        <f t="shared" si="0"/>
        <v>-7627.166558373603</v>
      </c>
      <c r="E11" s="12">
        <f t="shared" si="1"/>
        <v>-2.0669314612180672E-2</v>
      </c>
      <c r="F11" s="14">
        <v>0</v>
      </c>
      <c r="G11" s="14">
        <f>D11</f>
        <v>-7627.166558373603</v>
      </c>
    </row>
    <row r="12" spans="1:8" ht="15" customHeight="1" x14ac:dyDescent="0.35">
      <c r="A12" s="2" t="s">
        <v>46</v>
      </c>
      <c r="B12" s="14">
        <f>$B$37*$B$48</f>
        <v>45480.296052631573</v>
      </c>
      <c r="C12" s="14">
        <f>Historicals!D16</f>
        <v>49507</v>
      </c>
      <c r="D12" s="6">
        <f t="shared" si="0"/>
        <v>4026.7039473684272</v>
      </c>
      <c r="E12" s="12">
        <f t="shared" si="1"/>
        <v>8.8537329280103369E-2</v>
      </c>
      <c r="F12" s="14">
        <f>(Historicals!D96-$B$37)*$B$48</f>
        <v>551.27631578947364</v>
      </c>
      <c r="G12" s="14">
        <f>(C12/Historicals!D96-$B$48)*Historicals!D96</f>
        <v>3475.4276315789543</v>
      </c>
    </row>
    <row r="13" spans="1:8" ht="15" customHeight="1" x14ac:dyDescent="0.35">
      <c r="A13" s="2" t="s">
        <v>209</v>
      </c>
      <c r="B13" s="14">
        <f>Historicals!C17</f>
        <v>26949</v>
      </c>
      <c r="C13" s="14">
        <f>Historicals!D17</f>
        <v>27503</v>
      </c>
      <c r="D13" s="6">
        <f t="shared" si="0"/>
        <v>554</v>
      </c>
      <c r="E13" s="12">
        <f t="shared" si="1"/>
        <v>2.0557349066755725E-2</v>
      </c>
      <c r="F13" s="14">
        <v>0</v>
      </c>
      <c r="G13" s="14">
        <f>D13</f>
        <v>554</v>
      </c>
    </row>
    <row r="14" spans="1:8" ht="15" customHeight="1" x14ac:dyDescent="0.35">
      <c r="A14" s="3" t="s">
        <v>49</v>
      </c>
      <c r="B14" s="17">
        <f>B5-SUM(B6:B13)</f>
        <v>2025029.2382472474</v>
      </c>
      <c r="C14" s="14">
        <f>Historicals!D19</f>
        <v>1935798</v>
      </c>
      <c r="D14" s="6">
        <f t="shared" si="0"/>
        <v>-89231.238247247413</v>
      </c>
      <c r="E14" s="12">
        <f t="shared" si="1"/>
        <v>-4.4064172784231505E-2</v>
      </c>
    </row>
    <row r="15" spans="1:8" ht="15" customHeight="1" x14ac:dyDescent="0.35">
      <c r="A15" s="2" t="s">
        <v>210</v>
      </c>
      <c r="B15" s="14">
        <f>Historicals!C20</f>
        <v>93897</v>
      </c>
      <c r="C15" s="14">
        <f>Historicals!D20</f>
        <v>73721</v>
      </c>
      <c r="D15" s="6">
        <f t="shared" si="0"/>
        <v>-20176</v>
      </c>
      <c r="E15" s="12">
        <f t="shared" si="1"/>
        <v>-0.21487374463507886</v>
      </c>
    </row>
    <row r="16" spans="1:8" ht="15" customHeight="1" x14ac:dyDescent="0.35">
      <c r="A16" s="2" t="s">
        <v>52</v>
      </c>
      <c r="B16" s="14">
        <f>(B14+B15)*Assumptions!D10</f>
        <v>550920.82194428437</v>
      </c>
      <c r="C16" s="14">
        <f>Historicals!D22</f>
        <v>473758</v>
      </c>
      <c r="D16" s="6">
        <f t="shared" si="0"/>
        <v>-77162.821944284369</v>
      </c>
      <c r="E16" s="12">
        <f t="shared" si="1"/>
        <v>-0.14006154581699218</v>
      </c>
    </row>
    <row r="17" spans="1:8" ht="15" customHeight="1" x14ac:dyDescent="0.35">
      <c r="A17" s="3" t="s">
        <v>53</v>
      </c>
      <c r="B17" s="17">
        <f>B14+B15-B16</f>
        <v>1568005.4163029632</v>
      </c>
      <c r="C17" s="14">
        <f>Historicals!D23</f>
        <v>1535761</v>
      </c>
      <c r="D17" s="6">
        <f t="shared" si="0"/>
        <v>-32244.41630296316</v>
      </c>
      <c r="E17" s="12">
        <f t="shared" si="1"/>
        <v>-2.056396997593855E-2</v>
      </c>
    </row>
    <row r="18" spans="1:8" ht="15" customHeight="1" x14ac:dyDescent="0.35">
      <c r="A18" s="2" t="s">
        <v>149</v>
      </c>
      <c r="B18" s="12">
        <f>B14/B5</f>
        <v>0.16201641309781092</v>
      </c>
      <c r="C18" s="12">
        <f>C14/C5</f>
        <v>0.16232288838105519</v>
      </c>
      <c r="D18" s="12">
        <f t="shared" si="0"/>
        <v>3.0647528324426188E-4</v>
      </c>
    </row>
    <row r="19" spans="1:8" ht="15" customHeight="1" x14ac:dyDescent="0.35">
      <c r="E19" s="2" t="s">
        <v>211</v>
      </c>
      <c r="F19" s="6">
        <f>SUMPRODUCT(F6:F13+G6:G13-D6:D13)</f>
        <v>-1.4279066817834973E-10</v>
      </c>
    </row>
    <row r="20" spans="1:8" ht="15" customHeight="1" x14ac:dyDescent="0.35">
      <c r="A20" s="3" t="s">
        <v>212</v>
      </c>
    </row>
    <row r="21" spans="1:8" ht="15" customHeight="1" x14ac:dyDescent="0.35">
      <c r="A21" s="2" t="s">
        <v>213</v>
      </c>
      <c r="B21" s="6">
        <f>$B$40</f>
        <v>12498914.150288694</v>
      </c>
    </row>
    <row r="22" spans="1:8" ht="15" customHeight="1" x14ac:dyDescent="0.35">
      <c r="A22" s="2" t="s">
        <v>214</v>
      </c>
      <c r="B22" s="6">
        <f>$B$30*(Historicals!D103-Assumptions!D7)</f>
        <v>-551121.81599999999</v>
      </c>
      <c r="H22" s="2" t="s">
        <v>215</v>
      </c>
    </row>
    <row r="23" spans="1:8" ht="15" customHeight="1" x14ac:dyDescent="0.35">
      <c r="A23" s="2" t="s">
        <v>216</v>
      </c>
      <c r="B23" s="6">
        <f>$B$30*(Historicals!D104-Assumptions!D8)</f>
        <v>-33742.151999999987</v>
      </c>
      <c r="H23" s="2" t="s">
        <v>217</v>
      </c>
    </row>
    <row r="24" spans="1:8" ht="15" customHeight="1" x14ac:dyDescent="0.35">
      <c r="A24" s="2" t="s">
        <v>218</v>
      </c>
      <c r="B24" s="6">
        <f>(Historicals!D7-$B$30*(1+Historicals!D102))-$B$38</f>
        <v>18469.817711306154</v>
      </c>
      <c r="H24" s="2" t="s">
        <v>219</v>
      </c>
    </row>
    <row r="25" spans="1:8" ht="15" customHeight="1" x14ac:dyDescent="0.35">
      <c r="A25" s="2" t="s">
        <v>220</v>
      </c>
      <c r="B25" s="6">
        <f>Historicals!D8-$B$39</f>
        <v>-6919</v>
      </c>
    </row>
    <row r="26" spans="1:8" ht="15" customHeight="1" x14ac:dyDescent="0.35">
      <c r="A26" s="3" t="s">
        <v>221</v>
      </c>
      <c r="B26" s="17">
        <f>SUM(B21:B25)</f>
        <v>11925601</v>
      </c>
    </row>
    <row r="27" spans="1:8" ht="15" customHeight="1" x14ac:dyDescent="0.35">
      <c r="A27" s="2" t="s">
        <v>222</v>
      </c>
      <c r="B27" s="6">
        <f>B26-Historicals!D9</f>
        <v>0</v>
      </c>
    </row>
    <row r="29" spans="1:8" ht="15" customHeight="1" x14ac:dyDescent="0.35">
      <c r="A29" s="3" t="s">
        <v>223</v>
      </c>
    </row>
    <row r="30" spans="1:8" ht="15" customHeight="1" x14ac:dyDescent="0.35">
      <c r="A30" s="2" t="s">
        <v>224</v>
      </c>
      <c r="B30" s="14">
        <f>Historicals!C7</f>
        <v>11247384</v>
      </c>
    </row>
    <row r="31" spans="1:8" ht="15" customHeight="1" x14ac:dyDescent="0.35">
      <c r="A31" s="2" t="s">
        <v>225</v>
      </c>
      <c r="B31" s="13">
        <f>Assumptions!D6</f>
        <v>3.5000000000000003E-2</v>
      </c>
    </row>
    <row r="32" spans="1:8" ht="15" customHeight="1" x14ac:dyDescent="0.35">
      <c r="A32" s="2" t="s">
        <v>226</v>
      </c>
      <c r="B32" s="14">
        <f>$B$30*(1+$B$31)</f>
        <v>11641042.439999999</v>
      </c>
      <c r="H32" s="2" t="s">
        <v>227</v>
      </c>
    </row>
    <row r="33" spans="1:8" ht="15" customHeight="1" x14ac:dyDescent="0.35">
      <c r="A33" s="2" t="s">
        <v>228</v>
      </c>
      <c r="B33" s="14">
        <f>Historicals!C7-Historicals!B7*(1+Historicals!C102)</f>
        <v>717754.82399999909</v>
      </c>
      <c r="H33" s="2" t="s">
        <v>229</v>
      </c>
    </row>
    <row r="34" spans="1:8" ht="15" customHeight="1" x14ac:dyDescent="0.35">
      <c r="A34" s="2" t="s">
        <v>230</v>
      </c>
      <c r="B34" s="19">
        <v>0.5</v>
      </c>
    </row>
    <row r="35" spans="1:8" ht="15" customHeight="1" x14ac:dyDescent="0.35">
      <c r="A35" s="2" t="s">
        <v>231</v>
      </c>
      <c r="B35" s="15">
        <f>(Historicals!B96+Historicals!C96)*$B$34</f>
        <v>287.5</v>
      </c>
      <c r="H35" s="2" t="s">
        <v>232</v>
      </c>
    </row>
    <row r="36" spans="1:8" ht="15" customHeight="1" x14ac:dyDescent="0.35">
      <c r="A36" s="2" t="s">
        <v>233</v>
      </c>
      <c r="B36" s="14">
        <f>$B$33/$B$35</f>
        <v>2496.5385182608666</v>
      </c>
      <c r="H36" s="2" t="s">
        <v>234</v>
      </c>
    </row>
    <row r="37" spans="1:8" ht="15" customHeight="1" x14ac:dyDescent="0.35">
      <c r="A37" s="2" t="s">
        <v>235</v>
      </c>
      <c r="B37" s="14">
        <f>Assumptions!D9</f>
        <v>330</v>
      </c>
    </row>
    <row r="38" spans="1:8" ht="15" customHeight="1" x14ac:dyDescent="0.35">
      <c r="A38" s="2" t="s">
        <v>236</v>
      </c>
      <c r="B38" s="14">
        <f>(Historicals!C96+$B$37)*$B$34*$B$36</f>
        <v>791402.71028869471</v>
      </c>
      <c r="H38" s="2" t="s">
        <v>237</v>
      </c>
    </row>
    <row r="39" spans="1:8" ht="15" customHeight="1" x14ac:dyDescent="0.35">
      <c r="A39" s="2" t="s">
        <v>37</v>
      </c>
      <c r="B39" s="14">
        <f>Historicals!C8</f>
        <v>66469</v>
      </c>
      <c r="H39" s="2" t="s">
        <v>238</v>
      </c>
    </row>
    <row r="40" spans="1:8" ht="15" customHeight="1" x14ac:dyDescent="0.35">
      <c r="A40" s="2" t="s">
        <v>239</v>
      </c>
      <c r="B40" s="14">
        <f>$B$32+$B$38+$B$39</f>
        <v>12498914.150288694</v>
      </c>
    </row>
    <row r="42" spans="1:8" ht="15" customHeight="1" x14ac:dyDescent="0.35">
      <c r="A42" s="3" t="s">
        <v>240</v>
      </c>
    </row>
    <row r="43" spans="1:8" ht="15" customHeight="1" x14ac:dyDescent="0.35">
      <c r="A43" s="2" t="s">
        <v>241</v>
      </c>
      <c r="B43" s="11">
        <v>0.03</v>
      </c>
    </row>
    <row r="44" spans="1:8" ht="15" customHeight="1" x14ac:dyDescent="0.35">
      <c r="A44" s="2" t="s">
        <v>154</v>
      </c>
      <c r="B44" s="15">
        <f>Historicals!C12/Historicals!C100*(1+$B$43)</f>
        <v>162.02016473544606</v>
      </c>
    </row>
    <row r="45" spans="1:8" ht="15" customHeight="1" x14ac:dyDescent="0.35">
      <c r="A45" s="2" t="s">
        <v>242</v>
      </c>
      <c r="B45" s="14">
        <f>Historicals!C99+$B$37/2</f>
        <v>3891</v>
      </c>
    </row>
    <row r="46" spans="1:8" ht="15" customHeight="1" x14ac:dyDescent="0.35">
      <c r="A46" s="2" t="s">
        <v>243</v>
      </c>
      <c r="B46" s="11">
        <v>0.05</v>
      </c>
    </row>
    <row r="47" spans="1:8" ht="15" customHeight="1" x14ac:dyDescent="0.35">
      <c r="A47" s="2" t="s">
        <v>244</v>
      </c>
      <c r="B47" s="13">
        <f>Historicals!C15/Historicals!B33</f>
        <v>0.15438900148292334</v>
      </c>
    </row>
    <row r="48" spans="1:8" ht="15" customHeight="1" x14ac:dyDescent="0.35">
      <c r="A48" s="2" t="s">
        <v>245</v>
      </c>
      <c r="B48" s="15">
        <f>Historicals!C16/Historicals!C96</f>
        <v>137.81907894736841</v>
      </c>
    </row>
    <row r="50" spans="1:1" ht="15" customHeight="1" x14ac:dyDescent="0.35">
      <c r="A50" s="3" t="s">
        <v>246</v>
      </c>
    </row>
    <row r="51" spans="1:1" ht="15" customHeight="1" x14ac:dyDescent="0.35">
      <c r="A51" s="2" t="s">
        <v>247</v>
      </c>
    </row>
    <row r="52" spans="1:1" ht="15" customHeight="1" x14ac:dyDescent="0.35">
      <c r="A52" s="2" t="s">
        <v>248</v>
      </c>
    </row>
    <row r="53" spans="1:1" ht="15" customHeight="1" x14ac:dyDescent="0.35">
      <c r="A53" s="2" t="s">
        <v>249</v>
      </c>
    </row>
    <row r="54" spans="1:1" ht="15" customHeight="1" x14ac:dyDescent="0.35">
      <c r="A54" s="2" t="s">
        <v>250</v>
      </c>
    </row>
    <row r="55" spans="1:1" ht="15" customHeight="1" x14ac:dyDescent="0.35">
      <c r="A55" s="2" t="s">
        <v>251</v>
      </c>
    </row>
    <row r="56" spans="1:1" ht="15" customHeight="1" x14ac:dyDescent="0.35">
      <c r="A56" s="2" t="s">
        <v>252</v>
      </c>
    </row>
    <row r="57" spans="1:1" ht="15" customHeight="1" x14ac:dyDescent="0.35">
      <c r="A57" s="2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topLeftCell="E8" zoomScaleNormal="100" workbookViewId="0">
      <selection activeCell="B6" sqref="B6"/>
    </sheetView>
  </sheetViews>
  <sheetFormatPr defaultColWidth="8.6328125" defaultRowHeight="14.5" x14ac:dyDescent="0.35"/>
  <cols>
    <col min="1" max="1" width="46" customWidth="1"/>
    <col min="2" max="5" width="12" customWidth="1"/>
    <col min="6" max="6" width="66" customWidth="1"/>
  </cols>
  <sheetData>
    <row r="1" spans="1:6" ht="15" customHeight="1" x14ac:dyDescent="0.35">
      <c r="A1" s="1" t="s">
        <v>254</v>
      </c>
    </row>
    <row r="2" spans="1:6" ht="15" customHeight="1" x14ac:dyDescent="0.35">
      <c r="A2" s="2" t="s">
        <v>255</v>
      </c>
    </row>
    <row r="4" spans="1:6" ht="15" customHeight="1" x14ac:dyDescent="0.35">
      <c r="A4" s="3" t="s">
        <v>256</v>
      </c>
      <c r="B4" s="20">
        <v>1</v>
      </c>
      <c r="C4" s="3" t="str">
        <f>CHOOSE($B$4,"Base","Upside","Downside")</f>
        <v>Base</v>
      </c>
    </row>
    <row r="6" spans="1:6" ht="15" customHeight="1" x14ac:dyDescent="0.35">
      <c r="A6" s="4" t="s">
        <v>170</v>
      </c>
      <c r="B6" s="5" t="s">
        <v>257</v>
      </c>
      <c r="C6" s="5" t="s">
        <v>258</v>
      </c>
      <c r="D6" s="5" t="s">
        <v>259</v>
      </c>
      <c r="E6" s="5" t="s">
        <v>260</v>
      </c>
      <c r="F6" s="5" t="s">
        <v>261</v>
      </c>
    </row>
    <row r="7" spans="1:6" ht="15" customHeight="1" x14ac:dyDescent="0.35">
      <c r="A7" s="2" t="s">
        <v>262</v>
      </c>
      <c r="B7" s="11">
        <v>1.4999999999999999E-2</v>
      </c>
      <c r="C7" s="11">
        <v>0.03</v>
      </c>
      <c r="D7" s="11">
        <v>0</v>
      </c>
      <c r="E7" s="21">
        <f t="shared" ref="E7:E15" si="0">CHOOSE($B$4,B7,C7,D7)</f>
        <v>1.4999999999999999E-2</v>
      </c>
      <c r="F7" s="2" t="s">
        <v>263</v>
      </c>
    </row>
    <row r="8" spans="1:6" ht="15" customHeight="1" x14ac:dyDescent="0.35">
      <c r="A8" s="2" t="s">
        <v>264</v>
      </c>
      <c r="B8" s="11">
        <v>2.5000000000000001E-2</v>
      </c>
      <c r="C8" s="11">
        <v>0.04</v>
      </c>
      <c r="D8" s="11">
        <v>0</v>
      </c>
      <c r="E8" s="21">
        <f t="shared" si="0"/>
        <v>2.5000000000000001E-2</v>
      </c>
      <c r="F8" s="2" t="s">
        <v>265</v>
      </c>
    </row>
    <row r="9" spans="1:6" ht="15" customHeight="1" x14ac:dyDescent="0.35">
      <c r="A9" s="2" t="s">
        <v>266</v>
      </c>
      <c r="B9" s="7">
        <v>345</v>
      </c>
      <c r="C9" s="7">
        <v>352</v>
      </c>
      <c r="D9" s="7">
        <v>338</v>
      </c>
      <c r="E9" s="17">
        <f t="shared" si="0"/>
        <v>345</v>
      </c>
      <c r="F9" s="2" t="s">
        <v>267</v>
      </c>
    </row>
    <row r="10" spans="1:6" ht="15" customHeight="1" x14ac:dyDescent="0.35">
      <c r="A10" s="2" t="s">
        <v>268</v>
      </c>
      <c r="B10" s="7">
        <v>360</v>
      </c>
      <c r="C10" s="7">
        <v>380</v>
      </c>
      <c r="D10" s="7">
        <v>330</v>
      </c>
      <c r="E10" s="17">
        <f t="shared" si="0"/>
        <v>360</v>
      </c>
      <c r="F10" s="2" t="s">
        <v>269</v>
      </c>
    </row>
    <row r="11" spans="1:6" ht="15" customHeight="1" x14ac:dyDescent="0.35">
      <c r="A11" s="2" t="s">
        <v>270</v>
      </c>
      <c r="B11" s="11">
        <v>0.30499999999999999</v>
      </c>
      <c r="C11" s="11">
        <v>0.3</v>
      </c>
      <c r="D11" s="11">
        <v>0.31</v>
      </c>
      <c r="E11" s="21">
        <f t="shared" si="0"/>
        <v>0.30499999999999999</v>
      </c>
      <c r="F11" s="2" t="s">
        <v>271</v>
      </c>
    </row>
    <row r="12" spans="1:6" ht="15" customHeight="1" x14ac:dyDescent="0.35">
      <c r="A12" s="2" t="s">
        <v>272</v>
      </c>
      <c r="B12" s="11">
        <v>0.25600000000000001</v>
      </c>
      <c r="C12" s="11">
        <v>0.252</v>
      </c>
      <c r="D12" s="11">
        <v>0.26</v>
      </c>
      <c r="E12" s="21">
        <f t="shared" si="0"/>
        <v>0.25600000000000001</v>
      </c>
      <c r="F12" s="2" t="s">
        <v>273</v>
      </c>
    </row>
    <row r="13" spans="1:6" ht="15" customHeight="1" x14ac:dyDescent="0.35">
      <c r="A13" s="2" t="s">
        <v>274</v>
      </c>
      <c r="B13" s="11">
        <v>0.155</v>
      </c>
      <c r="C13" s="11">
        <v>0.15</v>
      </c>
      <c r="D13" s="11">
        <v>0.16</v>
      </c>
      <c r="E13" s="21">
        <f t="shared" si="0"/>
        <v>0.155</v>
      </c>
      <c r="F13" s="2" t="s">
        <v>275</v>
      </c>
    </row>
    <row r="14" spans="1:6" ht="15" customHeight="1" x14ac:dyDescent="0.35">
      <c r="A14" s="2" t="s">
        <v>276</v>
      </c>
      <c r="B14" s="11">
        <v>0.06</v>
      </c>
      <c r="C14" s="11">
        <v>0.04</v>
      </c>
      <c r="D14" s="11">
        <v>0.08</v>
      </c>
      <c r="E14" s="21">
        <f t="shared" si="0"/>
        <v>0.06</v>
      </c>
      <c r="F14" s="2" t="s">
        <v>277</v>
      </c>
    </row>
    <row r="15" spans="1:6" ht="15" customHeight="1" x14ac:dyDescent="0.35">
      <c r="A15" s="2" t="s">
        <v>278</v>
      </c>
      <c r="B15" s="7">
        <v>2000</v>
      </c>
      <c r="C15" s="7">
        <v>1950</v>
      </c>
      <c r="D15" s="7">
        <v>2100</v>
      </c>
      <c r="E15" s="17">
        <f t="shared" si="0"/>
        <v>2000</v>
      </c>
      <c r="F15" s="2" t="s">
        <v>279</v>
      </c>
    </row>
    <row r="17" spans="1:6" ht="15" customHeight="1" x14ac:dyDescent="0.35">
      <c r="A17" s="3" t="s">
        <v>280</v>
      </c>
    </row>
    <row r="18" spans="1:6" ht="15" customHeight="1" x14ac:dyDescent="0.35">
      <c r="A18" s="2" t="s">
        <v>281</v>
      </c>
      <c r="E18" s="11">
        <v>1.4E-2</v>
      </c>
      <c r="F18" s="2" t="s">
        <v>282</v>
      </c>
    </row>
    <row r="19" spans="1:6" ht="15" customHeight="1" x14ac:dyDescent="0.35">
      <c r="A19" s="2" t="s">
        <v>283</v>
      </c>
      <c r="E19" s="7">
        <v>15</v>
      </c>
      <c r="F19" s="2" t="s">
        <v>284</v>
      </c>
    </row>
    <row r="20" spans="1:6" ht="15" customHeight="1" x14ac:dyDescent="0.35">
      <c r="A20" s="2" t="s">
        <v>285</v>
      </c>
      <c r="E20" s="11">
        <v>0.03</v>
      </c>
      <c r="F20" s="2"/>
    </row>
    <row r="21" spans="1:6" ht="15" customHeight="1" x14ac:dyDescent="0.35">
      <c r="A21" s="2" t="s">
        <v>286</v>
      </c>
      <c r="E21" s="7">
        <v>15000</v>
      </c>
      <c r="F21" s="2" t="s">
        <v>287</v>
      </c>
    </row>
    <row r="22" spans="1:6" ht="15" customHeight="1" x14ac:dyDescent="0.35">
      <c r="A22" s="2" t="s">
        <v>288</v>
      </c>
      <c r="E22" s="7">
        <v>30000</v>
      </c>
      <c r="F22" s="2" t="s">
        <v>289</v>
      </c>
    </row>
    <row r="23" spans="1:6" ht="15" customHeight="1" x14ac:dyDescent="0.35">
      <c r="A23" s="2" t="s">
        <v>290</v>
      </c>
      <c r="E23" s="11">
        <v>0.03</v>
      </c>
      <c r="F23" s="2" t="s">
        <v>291</v>
      </c>
    </row>
    <row r="24" spans="1:6" ht="15" customHeight="1" x14ac:dyDescent="0.35">
      <c r="A24" s="2" t="s">
        <v>150</v>
      </c>
      <c r="E24" s="11">
        <v>0.25</v>
      </c>
      <c r="F24" s="2" t="s">
        <v>292</v>
      </c>
    </row>
    <row r="25" spans="1:6" ht="15" customHeight="1" x14ac:dyDescent="0.35">
      <c r="A25" s="2" t="s">
        <v>293</v>
      </c>
      <c r="E25" s="7">
        <v>546737</v>
      </c>
      <c r="F25" s="2" t="s">
        <v>294</v>
      </c>
    </row>
    <row r="26" spans="1:6" ht="15" customHeight="1" x14ac:dyDescent="0.35">
      <c r="A26" s="2" t="s">
        <v>295</v>
      </c>
      <c r="E26" s="7">
        <v>110000</v>
      </c>
      <c r="F26" s="2" t="s">
        <v>296</v>
      </c>
    </row>
    <row r="27" spans="1:6" ht="15" customHeight="1" x14ac:dyDescent="0.35">
      <c r="A27" s="2" t="s">
        <v>297</v>
      </c>
      <c r="E27" s="7">
        <v>120000</v>
      </c>
      <c r="F27" s="2"/>
    </row>
    <row r="28" spans="1:6" ht="15" customHeight="1" x14ac:dyDescent="0.35">
      <c r="A28" s="2" t="s">
        <v>298</v>
      </c>
      <c r="E28" s="7">
        <v>1754905</v>
      </c>
      <c r="F28" s="2" t="s">
        <v>299</v>
      </c>
    </row>
    <row r="29" spans="1:6" ht="15" customHeight="1" x14ac:dyDescent="0.35">
      <c r="A29" s="2" t="s">
        <v>300</v>
      </c>
      <c r="E29" s="7">
        <v>1200000</v>
      </c>
      <c r="F29" s="2" t="s">
        <v>301</v>
      </c>
    </row>
    <row r="30" spans="1:6" ht="15" customHeight="1" x14ac:dyDescent="0.35">
      <c r="A30" s="2" t="s">
        <v>302</v>
      </c>
      <c r="E30" s="7">
        <v>50000</v>
      </c>
      <c r="F30" s="2" t="s">
        <v>303</v>
      </c>
    </row>
    <row r="32" spans="1:6" ht="15" customHeight="1" x14ac:dyDescent="0.35">
      <c r="A32" s="3" t="s">
        <v>304</v>
      </c>
    </row>
    <row r="33" spans="1:6" ht="15" customHeight="1" x14ac:dyDescent="0.35">
      <c r="A33" s="4" t="s">
        <v>305</v>
      </c>
      <c r="B33" s="5" t="s">
        <v>257</v>
      </c>
      <c r="C33" s="5" t="s">
        <v>258</v>
      </c>
      <c r="D33" s="5" t="s">
        <v>259</v>
      </c>
      <c r="E33" s="5"/>
      <c r="F33" s="5"/>
    </row>
    <row r="34" spans="1:6" ht="15" customHeight="1" x14ac:dyDescent="0.35">
      <c r="A34" s="2" t="s">
        <v>306</v>
      </c>
      <c r="B34" s="22">
        <v>12931956</v>
      </c>
      <c r="C34" s="22">
        <v>13021761</v>
      </c>
      <c r="D34" s="22">
        <v>12842152</v>
      </c>
    </row>
    <row r="35" spans="1:6" ht="15" customHeight="1" x14ac:dyDescent="0.35">
      <c r="A35" s="2" t="s">
        <v>307</v>
      </c>
      <c r="B35" s="22">
        <v>1833101</v>
      </c>
      <c r="C35" s="22">
        <v>1955609</v>
      </c>
      <c r="D35" s="22">
        <v>1713108</v>
      </c>
    </row>
    <row r="36" spans="1:6" ht="15" customHeight="1" x14ac:dyDescent="0.35">
      <c r="A36" s="2" t="s">
        <v>308</v>
      </c>
      <c r="B36" s="23">
        <v>0.14169999999999999</v>
      </c>
      <c r="C36" s="23">
        <v>0.1502</v>
      </c>
      <c r="D36" s="23">
        <v>0.13339999999999999</v>
      </c>
    </row>
    <row r="37" spans="1:6" ht="15" customHeight="1" x14ac:dyDescent="0.35">
      <c r="A37" s="2" t="s">
        <v>309</v>
      </c>
      <c r="B37" s="22">
        <v>14150177</v>
      </c>
      <c r="C37" s="22">
        <v>14471827</v>
      </c>
      <c r="D37" s="22">
        <v>13690106</v>
      </c>
    </row>
    <row r="38" spans="1:6" ht="15" customHeight="1" x14ac:dyDescent="0.35">
      <c r="A38" s="2" t="s">
        <v>310</v>
      </c>
      <c r="B38" s="22">
        <v>1946926</v>
      </c>
      <c r="C38" s="22">
        <v>2256250</v>
      </c>
      <c r="D38" s="22">
        <v>1608919</v>
      </c>
    </row>
    <row r="39" spans="1:6" ht="15" customHeight="1" x14ac:dyDescent="0.35">
      <c r="A39" s="2" t="s">
        <v>311</v>
      </c>
      <c r="B39" s="23">
        <v>0.1376</v>
      </c>
      <c r="C39" s="23">
        <v>0.15590000000000001</v>
      </c>
      <c r="D39" s="23">
        <v>0.11749999999999999</v>
      </c>
    </row>
    <row r="40" spans="1:6" ht="15" customHeight="1" x14ac:dyDescent="0.35">
      <c r="A40" s="2" t="s">
        <v>312</v>
      </c>
      <c r="B40" s="22">
        <v>1477510</v>
      </c>
      <c r="C40" s="22">
        <v>1711689</v>
      </c>
      <c r="D40" s="22">
        <v>1221496</v>
      </c>
    </row>
    <row r="41" spans="1:6" ht="15" customHeight="1" x14ac:dyDescent="0.35">
      <c r="A41" s="2" t="s">
        <v>313</v>
      </c>
      <c r="B41" s="22">
        <v>390563</v>
      </c>
      <c r="C41" s="22">
        <v>709314</v>
      </c>
      <c r="D41" s="22">
        <v>35723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zoomScaleNormal="100" workbookViewId="0">
      <pane xSplit="1" ySplit="4" topLeftCell="B24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44" customWidth="1"/>
    <col min="2" max="6" width="13" customWidth="1"/>
    <col min="7" max="7" width="60" customWidth="1"/>
  </cols>
  <sheetData>
    <row r="1" spans="1:7" ht="15" customHeight="1" x14ac:dyDescent="0.35">
      <c r="A1" s="1" t="s">
        <v>314</v>
      </c>
    </row>
    <row r="2" spans="1:7" ht="15" customHeight="1" x14ac:dyDescent="0.35">
      <c r="A2" s="2" t="s">
        <v>315</v>
      </c>
    </row>
    <row r="4" spans="1:7" ht="15" customHeight="1" x14ac:dyDescent="0.35">
      <c r="A4" s="4" t="s">
        <v>199</v>
      </c>
      <c r="B4" s="5" t="s">
        <v>316</v>
      </c>
      <c r="C4" s="5" t="s">
        <v>317</v>
      </c>
      <c r="D4" s="5" t="s">
        <v>318</v>
      </c>
      <c r="E4" s="5" t="s">
        <v>319</v>
      </c>
      <c r="F4" s="5" t="s">
        <v>320</v>
      </c>
      <c r="G4" s="5" t="s">
        <v>321</v>
      </c>
    </row>
    <row r="6" spans="1:7" ht="15" customHeight="1" x14ac:dyDescent="0.35">
      <c r="A6" s="3" t="s">
        <v>322</v>
      </c>
    </row>
    <row r="7" spans="1:7" ht="15" customHeight="1" x14ac:dyDescent="0.35">
      <c r="A7" s="2" t="s">
        <v>323</v>
      </c>
      <c r="B7" s="14">
        <f>Historicals!D99</f>
        <v>4042</v>
      </c>
      <c r="C7" s="7">
        <v>4186</v>
      </c>
      <c r="D7" s="6">
        <f>E7</f>
        <v>4372</v>
      </c>
      <c r="E7" s="14">
        <f>B7+Scenarios!$E$9-Scenarios!$E$19</f>
        <v>4372</v>
      </c>
      <c r="F7">
        <f>E7+Scenarios!$E$10-Scenarios!$E$19</f>
        <v>4717</v>
      </c>
      <c r="G7" s="2" t="s">
        <v>324</v>
      </c>
    </row>
    <row r="8" spans="1:7" ht="15" customHeight="1" x14ac:dyDescent="0.35">
      <c r="A8" s="2" t="s">
        <v>325</v>
      </c>
      <c r="B8" s="14">
        <f>Historicals!D96</f>
        <v>334</v>
      </c>
      <c r="C8" s="7">
        <v>149</v>
      </c>
      <c r="D8" s="14">
        <f>E8-C8</f>
        <v>196</v>
      </c>
      <c r="E8" s="14">
        <f>Scenarios!$E$9</f>
        <v>345</v>
      </c>
      <c r="F8" s="14">
        <f>Scenarios!$E$10</f>
        <v>360</v>
      </c>
    </row>
    <row r="9" spans="1:7" ht="15" customHeight="1" x14ac:dyDescent="0.35">
      <c r="A9" s="2" t="s">
        <v>326</v>
      </c>
      <c r="B9" s="14">
        <f>Historicals!D100</f>
        <v>3884</v>
      </c>
      <c r="D9" s="14">
        <f>(C7+D7)/2</f>
        <v>4279</v>
      </c>
      <c r="E9" s="14">
        <f>(B7+E7)/2</f>
        <v>4207</v>
      </c>
      <c r="F9" s="14">
        <f>(E7+F7)/2</f>
        <v>4544.5</v>
      </c>
    </row>
    <row r="11" spans="1:7" ht="15" customHeight="1" x14ac:dyDescent="0.35">
      <c r="A11" s="3" t="s">
        <v>327</v>
      </c>
    </row>
    <row r="12" spans="1:7" ht="15" customHeight="1" x14ac:dyDescent="0.35">
      <c r="A12" s="2" t="s">
        <v>328</v>
      </c>
      <c r="D12" s="14">
        <f>Historicals!D9-'H1 2026 Checkpoint'!B5</f>
        <v>5986955</v>
      </c>
      <c r="G12" s="2" t="s">
        <v>329</v>
      </c>
    </row>
    <row r="13" spans="1:7" ht="15" customHeight="1" x14ac:dyDescent="0.35">
      <c r="A13" s="2" t="s">
        <v>330</v>
      </c>
      <c r="C13" s="13">
        <f>'H1 2026 Checkpoint'!C5/'H1 2026 Checkpoint'!B5-1</f>
        <v>8.3884104221736644E-2</v>
      </c>
    </row>
    <row r="14" spans="1:7" ht="15" customHeight="1" x14ac:dyDescent="0.35">
      <c r="A14" s="2" t="s">
        <v>331</v>
      </c>
      <c r="C14" s="13">
        <f>C13-Scenarios!$E$18</f>
        <v>6.9884104221736645E-2</v>
      </c>
      <c r="D14" s="13">
        <f>C14</f>
        <v>6.9884104221736645E-2</v>
      </c>
      <c r="G14" s="2" t="s">
        <v>332</v>
      </c>
    </row>
    <row r="15" spans="1:7" ht="15" customHeight="1" x14ac:dyDescent="0.35">
      <c r="A15" s="2" t="s">
        <v>333</v>
      </c>
      <c r="B15" s="13">
        <f>Historicals!D102</f>
        <v>-1.7000000000000001E-2</v>
      </c>
      <c r="C15" s="13">
        <f>Scenarios!$E$18</f>
        <v>1.4E-2</v>
      </c>
      <c r="D15" s="13">
        <f>Scenarios!$E$7</f>
        <v>1.4999999999999999E-2</v>
      </c>
      <c r="F15" s="13">
        <f>Scenarios!$E$8</f>
        <v>2.5000000000000001E-2</v>
      </c>
    </row>
    <row r="16" spans="1:7" ht="15" customHeight="1" x14ac:dyDescent="0.35">
      <c r="A16" s="2" t="s">
        <v>233</v>
      </c>
      <c r="B16" s="14">
        <f>(Historicals!D7-Historicals!C7*(1+Historicals!D102))/((Historicals!C96+Historicals!D96)*0.5)</f>
        <v>2538.7853542319776</v>
      </c>
      <c r="G16" s="2" t="s">
        <v>334</v>
      </c>
    </row>
    <row r="18" spans="1:7" ht="15" customHeight="1" x14ac:dyDescent="0.35">
      <c r="A18" s="3" t="s">
        <v>33</v>
      </c>
    </row>
    <row r="19" spans="1:7" ht="15" customHeight="1" x14ac:dyDescent="0.35">
      <c r="A19" s="3" t="s">
        <v>38</v>
      </c>
      <c r="B19" s="17">
        <f>Historicals!D9</f>
        <v>11925601</v>
      </c>
      <c r="C19" s="17">
        <f>'H1 2026 Checkpoint'!C5</f>
        <v>6436804</v>
      </c>
      <c r="D19" s="17">
        <f>D12*(1+D14+D15)</f>
        <v>6495152.3121908465</v>
      </c>
      <c r="E19" s="17">
        <f t="shared" ref="E19:E27" si="0">C19+D19</f>
        <v>12931956.312190846</v>
      </c>
      <c r="F19" s="17">
        <f>E19*(1+F15)+(Scenarios!$E$9+Scenarios!$E$10)*0.5*B16</f>
        <v>14150177.057362389</v>
      </c>
      <c r="G19" s="2" t="s">
        <v>335</v>
      </c>
    </row>
    <row r="20" spans="1:7" ht="15" customHeight="1" x14ac:dyDescent="0.35">
      <c r="A20" s="2" t="s">
        <v>40</v>
      </c>
      <c r="B20" s="14">
        <f>Historicals!D10</f>
        <v>3526992</v>
      </c>
      <c r="C20" s="14">
        <f>'H1 2026 Checkpoint'!C6</f>
        <v>1906919</v>
      </c>
      <c r="D20" s="14">
        <f>D19*Scenarios!$E$11</f>
        <v>1981021.4552182083</v>
      </c>
      <c r="E20">
        <f t="shared" si="0"/>
        <v>3887940.455218208</v>
      </c>
      <c r="F20" s="14">
        <f>F19*Scenarios!$E$11</f>
        <v>4315804.0024955282</v>
      </c>
      <c r="G20" s="2" t="s">
        <v>336</v>
      </c>
    </row>
    <row r="21" spans="1:7" ht="15" customHeight="1" x14ac:dyDescent="0.35">
      <c r="A21" s="2" t="s">
        <v>41</v>
      </c>
      <c r="B21" s="14">
        <f>Historicals!D11</f>
        <v>2991680</v>
      </c>
      <c r="C21" s="14">
        <f>'H1 2026 Checkpoint'!C7</f>
        <v>1641861</v>
      </c>
      <c r="D21" s="14">
        <f>D19*Scenarios!$E$12</f>
        <v>1662758.9919208568</v>
      </c>
      <c r="E21">
        <f t="shared" si="0"/>
        <v>3304619.9919208568</v>
      </c>
      <c r="F21" s="14">
        <f>F19*Scenarios!$E$12</f>
        <v>3622445.3266847716</v>
      </c>
      <c r="G21" s="2" t="s">
        <v>336</v>
      </c>
    </row>
    <row r="22" spans="1:7" ht="15" customHeight="1" x14ac:dyDescent="0.35">
      <c r="A22" s="2" t="s">
        <v>42</v>
      </c>
      <c r="B22" s="14">
        <f>Historicals!D12</f>
        <v>624898</v>
      </c>
      <c r="C22" s="14">
        <f>'H1 2026 Checkpoint'!C8</f>
        <v>344091</v>
      </c>
      <c r="D22" s="14">
        <f>D9*Historicals!D12/Historicals!D100*(1+Scenarios!$E$20)/2</f>
        <v>354551.58319515962</v>
      </c>
      <c r="E22">
        <f t="shared" si="0"/>
        <v>698642.58319515968</v>
      </c>
      <c r="F22" s="14">
        <f>F9*Historicals!D12/Historicals!D100*(1+Scenarios!$E$20)^2</f>
        <v>775694.0686727342</v>
      </c>
      <c r="G22" s="2" t="s">
        <v>337</v>
      </c>
    </row>
    <row r="23" spans="1:7" ht="15" customHeight="1" x14ac:dyDescent="0.35">
      <c r="A23" s="2" t="s">
        <v>43</v>
      </c>
      <c r="B23" s="14">
        <f>Historicals!D13</f>
        <v>1755824</v>
      </c>
      <c r="C23" s="14">
        <f>'H1 2026 Checkpoint'!C9</f>
        <v>980407</v>
      </c>
      <c r="D23" s="14">
        <f>D19*Scenarios!$E$13</f>
        <v>1006748.6083895812</v>
      </c>
      <c r="E23">
        <f t="shared" si="0"/>
        <v>1987155.6083895811</v>
      </c>
      <c r="F23" s="14">
        <f>F19*Scenarios!$E$13</f>
        <v>2193277.4438911704</v>
      </c>
      <c r="G23" s="2" t="s">
        <v>336</v>
      </c>
    </row>
    <row r="24" spans="1:7" ht="15" customHeight="1" x14ac:dyDescent="0.35">
      <c r="A24" s="2" t="s">
        <v>44</v>
      </c>
      <c r="B24" s="14">
        <f>Historicals!D14</f>
        <v>652017</v>
      </c>
      <c r="C24" s="14">
        <f>'H1 2026 Checkpoint'!C10</f>
        <v>394191</v>
      </c>
      <c r="D24" s="14">
        <f>(Historicals!D14-'H1 2026 Checkpoint'!B10)*(1+Scenarios!$E$14)</f>
        <v>325507.98000000004</v>
      </c>
      <c r="E24">
        <f t="shared" si="0"/>
        <v>719698.98</v>
      </c>
      <c r="F24" s="14">
        <f>E24*(1+Scenarios!$E$14)</f>
        <v>762880.91879999998</v>
      </c>
      <c r="G24" s="2" t="s">
        <v>338</v>
      </c>
    </row>
    <row r="25" spans="1:7" ht="15" customHeight="1" x14ac:dyDescent="0.35">
      <c r="A25" s="2" t="s">
        <v>45</v>
      </c>
      <c r="B25" s="14">
        <f>Historicals!D15</f>
        <v>361382</v>
      </c>
      <c r="C25" s="14">
        <f>'H1 2026 Checkpoint'!C11</f>
        <v>195045</v>
      </c>
      <c r="D25" s="14">
        <f>Historicals!D33*Historicals!D15/Historicals!C33-C25</f>
        <v>210068.72074191907</v>
      </c>
      <c r="E25">
        <f t="shared" si="0"/>
        <v>405113.72074191907</v>
      </c>
      <c r="F25" s="14">
        <f>'BS Forecast'!C13*Historicals!D15/Historicals!C33</f>
        <v>448187.92409807839</v>
      </c>
      <c r="G25" s="2" t="s">
        <v>339</v>
      </c>
    </row>
    <row r="26" spans="1:7" ht="15" customHeight="1" x14ac:dyDescent="0.35">
      <c r="A26" s="2" t="s">
        <v>46</v>
      </c>
      <c r="B26" s="14">
        <f>Historicals!D16</f>
        <v>49507</v>
      </c>
      <c r="C26" s="14">
        <f>'H1 2026 Checkpoint'!C12</f>
        <v>28005</v>
      </c>
      <c r="D26" s="14">
        <f>D8*Historicals!D16/Historicals!D96</f>
        <v>29052.011976047903</v>
      </c>
      <c r="E26">
        <f t="shared" si="0"/>
        <v>57057.011976047899</v>
      </c>
      <c r="F26" s="14">
        <f>F8*Historicals!D16/Historicals!D96*1.03</f>
        <v>54961.663473053894</v>
      </c>
      <c r="G26" s="2" t="s">
        <v>340</v>
      </c>
    </row>
    <row r="27" spans="1:7" ht="15" customHeight="1" x14ac:dyDescent="0.35">
      <c r="A27" s="2" t="s">
        <v>341</v>
      </c>
      <c r="B27" s="14">
        <f>Historicals!D17</f>
        <v>27503</v>
      </c>
      <c r="C27" s="14">
        <f>'H1 2026 Checkpoint'!C13</f>
        <v>23627</v>
      </c>
      <c r="D27" s="14">
        <f>Scenarios!$E$21</f>
        <v>15000</v>
      </c>
      <c r="E27">
        <f t="shared" si="0"/>
        <v>38627</v>
      </c>
      <c r="F27" s="14">
        <f>Scenarios!$E$22</f>
        <v>30000</v>
      </c>
      <c r="G27" s="2" t="s">
        <v>342</v>
      </c>
    </row>
    <row r="28" spans="1:7" ht="15" customHeight="1" x14ac:dyDescent="0.35">
      <c r="A28" s="3" t="s">
        <v>49</v>
      </c>
      <c r="B28" s="17">
        <f>Historicals!D19</f>
        <v>1935798</v>
      </c>
      <c r="C28" s="17">
        <f>C19-SUM(C20:C27)</f>
        <v>922658</v>
      </c>
      <c r="D28" s="17">
        <f>D19-SUM(D20:D27)</f>
        <v>910442.96074907295</v>
      </c>
      <c r="E28" s="17">
        <f>E19-SUM(E20:E27)</f>
        <v>1833100.960749073</v>
      </c>
      <c r="F28" s="17">
        <f>F19-SUM(F20:F27)</f>
        <v>1946925.7092470527</v>
      </c>
    </row>
    <row r="29" spans="1:7" ht="15" customHeight="1" x14ac:dyDescent="0.35">
      <c r="A29" s="2" t="s">
        <v>210</v>
      </c>
      <c r="B29" s="14">
        <f>Historicals!D20</f>
        <v>73721</v>
      </c>
      <c r="C29" s="7">
        <v>16419</v>
      </c>
      <c r="D29" s="14">
        <f>(228199+Scenarios!$E$25)*Scenarios!$E$23/2</f>
        <v>11624.039999999999</v>
      </c>
      <c r="E29" s="14">
        <f>C29+D29</f>
        <v>28043.040000000001</v>
      </c>
      <c r="F29">
        <f>('BS Forecast'!C7+'BS Forecast'!C12)*Scenarios!$E$23</f>
        <v>23088.269800729624</v>
      </c>
      <c r="G29" s="2" t="s">
        <v>343</v>
      </c>
    </row>
    <row r="30" spans="1:7" ht="15" customHeight="1" x14ac:dyDescent="0.35">
      <c r="A30" s="3" t="s">
        <v>344</v>
      </c>
      <c r="B30" s="17">
        <f>B28+B29</f>
        <v>2009519</v>
      </c>
      <c r="C30" s="17">
        <f>C28+C29</f>
        <v>939077</v>
      </c>
      <c r="D30" s="17">
        <f>D28+D29</f>
        <v>922067.00074907299</v>
      </c>
      <c r="E30" s="17">
        <f>E28+E29</f>
        <v>1861144.000749073</v>
      </c>
      <c r="F30" s="17">
        <f>F28+F29</f>
        <v>1970013.9790477823</v>
      </c>
    </row>
    <row r="31" spans="1:7" ht="15" customHeight="1" x14ac:dyDescent="0.35">
      <c r="A31" s="2" t="s">
        <v>52</v>
      </c>
      <c r="B31" s="14">
        <f>Historicals!D22</f>
        <v>473758</v>
      </c>
      <c r="C31" s="7">
        <v>232706</v>
      </c>
      <c r="D31" s="14">
        <f>D30*Scenarios!$E$24</f>
        <v>230516.75018726825</v>
      </c>
      <c r="E31" s="14">
        <f>C31+D31</f>
        <v>463222.75018726825</v>
      </c>
      <c r="F31" s="14">
        <f>F30*Scenarios!$E$24</f>
        <v>492503.49476194556</v>
      </c>
      <c r="G31" s="2" t="s">
        <v>345</v>
      </c>
    </row>
    <row r="32" spans="1:7" ht="15" customHeight="1" x14ac:dyDescent="0.35">
      <c r="A32" s="3" t="s">
        <v>53</v>
      </c>
      <c r="B32" s="17">
        <f>B30-B31</f>
        <v>1535761</v>
      </c>
      <c r="C32" s="17">
        <f>C30-C31</f>
        <v>706371</v>
      </c>
      <c r="D32" s="17">
        <f>D30-D31</f>
        <v>691550.25056180474</v>
      </c>
      <c r="E32" s="17">
        <f>E30-E31</f>
        <v>1397921.2505618047</v>
      </c>
      <c r="F32" s="17">
        <f>F30-F31</f>
        <v>1477510.4842858366</v>
      </c>
    </row>
    <row r="34" spans="1:6" ht="15" customHeight="1" x14ac:dyDescent="0.35">
      <c r="A34" s="3" t="s">
        <v>346</v>
      </c>
    </row>
    <row r="35" spans="1:6" ht="15" customHeight="1" x14ac:dyDescent="0.35">
      <c r="A35" s="2" t="s">
        <v>347</v>
      </c>
      <c r="C35" s="13">
        <f>'H1 2026 Checkpoint'!C5/'H1 2026 Checkpoint'!B5-1</f>
        <v>8.3884104221736644E-2</v>
      </c>
      <c r="D35" s="13">
        <f>D19/D12-1</f>
        <v>8.4884104221736534E-2</v>
      </c>
      <c r="E35" s="13">
        <f>E19/B19-1</f>
        <v>8.4386129654249409E-2</v>
      </c>
      <c r="F35" s="13">
        <f>F19/E19-1</f>
        <v>9.4202355448969266E-2</v>
      </c>
    </row>
    <row r="36" spans="1:6" ht="15" customHeight="1" x14ac:dyDescent="0.35">
      <c r="A36" s="2" t="s">
        <v>348</v>
      </c>
      <c r="B36" s="13">
        <f>1-SUM(B20:B23)/B19</f>
        <v>0.25375719009884701</v>
      </c>
      <c r="C36" s="13">
        <f>1-SUM(C20:C23)/C19</f>
        <v>0.24290408718363954</v>
      </c>
      <c r="D36" s="13">
        <f>1-SUM(D20:D23)/D19</f>
        <v>0.22941289162231093</v>
      </c>
      <c r="E36" s="13">
        <f>1-SUM(E20:E23)/E19</f>
        <v>0.23612805361772216</v>
      </c>
      <c r="F36" s="13">
        <f>1-SUM(F20:F23)/F19</f>
        <v>0.2291813171292344</v>
      </c>
    </row>
    <row r="37" spans="1:6" ht="15" customHeight="1" x14ac:dyDescent="0.35">
      <c r="A37" s="3" t="s">
        <v>149</v>
      </c>
      <c r="B37" s="21">
        <f>B28/B19</f>
        <v>0.16232288838105519</v>
      </c>
      <c r="C37" s="21">
        <f>C28/C19</f>
        <v>0.14334101209233652</v>
      </c>
      <c r="D37" s="21">
        <f>D28/D19</f>
        <v>0.14017268833561441</v>
      </c>
      <c r="E37" s="21">
        <f>E28/E19</f>
        <v>0.14174970255822966</v>
      </c>
      <c r="F37" s="21">
        <f>F28/F19</f>
        <v>0.13759020126423507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topLeftCell="A14" zoomScaleNormal="100" workbookViewId="0">
      <selection activeCell="A7" sqref="A7"/>
    </sheetView>
  </sheetViews>
  <sheetFormatPr defaultColWidth="8.6328125" defaultRowHeight="14.5" x14ac:dyDescent="0.35"/>
  <cols>
    <col min="1" max="1" width="44" customWidth="1"/>
    <col min="2" max="4" width="13" customWidth="1"/>
    <col min="5" max="5" width="48" customWidth="1"/>
  </cols>
  <sheetData>
    <row r="1" spans="1:5" ht="15" customHeight="1" x14ac:dyDescent="0.35">
      <c r="A1" s="24" t="s">
        <v>349</v>
      </c>
    </row>
    <row r="2" spans="1:5" ht="15" customHeight="1" x14ac:dyDescent="0.35">
      <c r="A2" s="2" t="s">
        <v>350</v>
      </c>
    </row>
    <row r="4" spans="1:5" ht="15" customHeight="1" x14ac:dyDescent="0.35">
      <c r="A4" s="4" t="s">
        <v>199</v>
      </c>
      <c r="B4" s="5" t="s">
        <v>316</v>
      </c>
      <c r="C4" s="5" t="s">
        <v>319</v>
      </c>
      <c r="D4" s="5" t="s">
        <v>320</v>
      </c>
      <c r="E4" s="5" t="s">
        <v>321</v>
      </c>
    </row>
    <row r="6" spans="1:5" ht="15" customHeight="1" x14ac:dyDescent="0.35">
      <c r="A6" s="3" t="s">
        <v>351</v>
      </c>
    </row>
    <row r="7" spans="1:5" ht="15" customHeight="1" x14ac:dyDescent="0.35">
      <c r="A7" s="2" t="s">
        <v>55</v>
      </c>
      <c r="B7" s="14">
        <f>Historicals!D26</f>
        <v>350545</v>
      </c>
      <c r="C7" s="14">
        <f>'CF Forecast'!C26</f>
        <v>222871.9933576542</v>
      </c>
      <c r="D7" s="14">
        <f>'CF Forecast'!D26</f>
        <v>390563.40407479508</v>
      </c>
      <c r="E7" s="2" t="s">
        <v>352</v>
      </c>
    </row>
    <row r="8" spans="1:5" ht="15" customHeight="1" x14ac:dyDescent="0.35">
      <c r="A8" s="2" t="s">
        <v>353</v>
      </c>
      <c r="B8" s="14">
        <f>Historicals!D27</f>
        <v>156466</v>
      </c>
      <c r="C8" s="14">
        <f>'IS Forecast'!E19*Historicals!D27/Historicals!D9</f>
        <v>169669.56016248179</v>
      </c>
      <c r="D8" s="14">
        <f>'IS Forecast'!F19*Historicals!D27/Historicals!D9</f>
        <v>185652.83237777816</v>
      </c>
      <c r="E8" s="2" t="s">
        <v>354</v>
      </c>
    </row>
    <row r="9" spans="1:5" ht="15" customHeight="1" x14ac:dyDescent="0.35">
      <c r="A9" s="2" t="s">
        <v>57</v>
      </c>
      <c r="B9" s="14">
        <f>Historicals!D28</f>
        <v>49508</v>
      </c>
      <c r="C9" s="14">
        <f>'IS Forecast'!E20*Historicals!D28/Historicals!D10</f>
        <v>54574.593891038894</v>
      </c>
      <c r="D9" s="14">
        <f>'IS Forecast'!F20*Historicals!D28/Historicals!D10</f>
        <v>60580.467592653629</v>
      </c>
      <c r="E9" s="2" t="s">
        <v>355</v>
      </c>
    </row>
    <row r="10" spans="1:5" ht="15" customHeight="1" x14ac:dyDescent="0.35">
      <c r="A10" s="2" t="s">
        <v>356</v>
      </c>
      <c r="B10" s="14">
        <f>Historicals!D29</f>
        <v>120450</v>
      </c>
      <c r="C10" s="14">
        <f>'IS Forecast'!E19*Historicals!D29/Historicals!D9</f>
        <v>130614.30931685434</v>
      </c>
      <c r="D10" s="14">
        <f>'IS Forecast'!F19*Historicals!D29/Historicals!D9</f>
        <v>142918.48490984226</v>
      </c>
      <c r="E10" s="2" t="s">
        <v>357</v>
      </c>
    </row>
    <row r="11" spans="1:5" ht="15" customHeight="1" x14ac:dyDescent="0.35">
      <c r="A11" s="2" t="s">
        <v>59</v>
      </c>
      <c r="B11" s="14">
        <f>Historicals!D30</f>
        <v>91393</v>
      </c>
      <c r="C11" s="14">
        <f>B11</f>
        <v>91393</v>
      </c>
      <c r="D11" s="14">
        <f>C11</f>
        <v>91393</v>
      </c>
      <c r="E11" s="2" t="s">
        <v>238</v>
      </c>
    </row>
    <row r="12" spans="1:5" ht="15" customHeight="1" x14ac:dyDescent="0.35">
      <c r="A12" s="2" t="s">
        <v>358</v>
      </c>
      <c r="B12" s="14">
        <f>Historicals!D31+Historicals!D34</f>
        <v>895714</v>
      </c>
      <c r="C12" s="14">
        <f>Scenarios!$E$25</f>
        <v>546737</v>
      </c>
      <c r="D12" s="14">
        <f>C12</f>
        <v>546737</v>
      </c>
      <c r="E12" s="2" t="s">
        <v>359</v>
      </c>
    </row>
    <row r="13" spans="1:5" ht="15" customHeight="1" x14ac:dyDescent="0.35">
      <c r="A13" s="2" t="s">
        <v>360</v>
      </c>
      <c r="B13" s="14">
        <f>Historicals!D33</f>
        <v>2679361</v>
      </c>
      <c r="C13" s="14">
        <f>B13-'CF Forecast'!C17-'IS Forecast'!E25</f>
        <v>2964247.2792580808</v>
      </c>
      <c r="D13" s="14">
        <f>C13-'CF Forecast'!D17-'IS Forecast'!F25</f>
        <v>3257659.3551600026</v>
      </c>
      <c r="E13" s="2" t="s">
        <v>361</v>
      </c>
    </row>
    <row r="14" spans="1:5" ht="15" customHeight="1" x14ac:dyDescent="0.35">
      <c r="A14" s="2" t="s">
        <v>64</v>
      </c>
      <c r="B14" s="14">
        <f>Historicals!D35</f>
        <v>35364</v>
      </c>
      <c r="C14" s="14">
        <f>B14</f>
        <v>35364</v>
      </c>
      <c r="D14" s="14">
        <f>C14</f>
        <v>35364</v>
      </c>
      <c r="E14" s="2" t="s">
        <v>238</v>
      </c>
    </row>
    <row r="15" spans="1:5" ht="15" customHeight="1" x14ac:dyDescent="0.35">
      <c r="A15" s="2" t="s">
        <v>65</v>
      </c>
      <c r="B15" s="14">
        <f>Historicals!D36</f>
        <v>4463010</v>
      </c>
      <c r="C15" s="14">
        <f>B15*'IS Forecast'!E7/'IS Forecast'!B7</f>
        <v>4827382.4146462148</v>
      </c>
      <c r="D15" s="14">
        <f>C15*'IS Forecast'!F7/'IS Forecast'!E7</f>
        <v>5208317.2117763488</v>
      </c>
      <c r="E15" s="2" t="s">
        <v>362</v>
      </c>
    </row>
    <row r="16" spans="1:5" ht="15" customHeight="1" x14ac:dyDescent="0.35">
      <c r="A16" s="2" t="s">
        <v>363</v>
      </c>
      <c r="B16" s="14">
        <f>Historicals!D37+Historicals!D38</f>
        <v>152720</v>
      </c>
      <c r="C16" s="14">
        <f>B16</f>
        <v>152720</v>
      </c>
      <c r="D16" s="14">
        <f>C16</f>
        <v>152720</v>
      </c>
      <c r="E16" s="2" t="s">
        <v>238</v>
      </c>
    </row>
    <row r="17" spans="1:5" ht="15" customHeight="1" x14ac:dyDescent="0.35">
      <c r="A17" s="3" t="s">
        <v>68</v>
      </c>
      <c r="B17" s="17">
        <f>SUM(B7:B16)</f>
        <v>8994531</v>
      </c>
      <c r="C17" s="17">
        <f>SUM(C7:C16)</f>
        <v>9195574.1506323256</v>
      </c>
      <c r="D17" s="17">
        <f>SUM(D7:D16)</f>
        <v>10071905.75589142</v>
      </c>
    </row>
    <row r="19" spans="1:5" ht="15" customHeight="1" x14ac:dyDescent="0.35">
      <c r="A19" s="3" t="s">
        <v>364</v>
      </c>
    </row>
    <row r="20" spans="1:5" ht="15" customHeight="1" x14ac:dyDescent="0.35">
      <c r="A20" s="2" t="s">
        <v>69</v>
      </c>
      <c r="B20" s="14">
        <f>Historicals!D41</f>
        <v>212813</v>
      </c>
      <c r="C20" s="14">
        <f>'IS Forecast'!E20*Historicals!D41/Historicals!D10</f>
        <v>234592.0467345411</v>
      </c>
      <c r="D20" s="14">
        <f>'IS Forecast'!F20*Historicals!D41/Historicals!D10</f>
        <v>260408.64203351774</v>
      </c>
      <c r="E20" s="2" t="s">
        <v>355</v>
      </c>
    </row>
    <row r="21" spans="1:5" ht="15" customHeight="1" x14ac:dyDescent="0.35">
      <c r="A21" s="2" t="s">
        <v>70</v>
      </c>
      <c r="B21" s="14">
        <f>Historicals!D42</f>
        <v>250126</v>
      </c>
      <c r="C21" s="14">
        <f>'IS Forecast'!E21*Historicals!D42/Historicals!D11</f>
        <v>276290.03773772466</v>
      </c>
      <c r="D21" s="14">
        <f>'IS Forecast'!F21*Historicals!D42/Historicals!D11</f>
        <v>302862.52533103648</v>
      </c>
      <c r="E21" s="2" t="s">
        <v>365</v>
      </c>
    </row>
    <row r="22" spans="1:5" ht="15" customHeight="1" x14ac:dyDescent="0.35">
      <c r="A22" s="2" t="s">
        <v>71</v>
      </c>
      <c r="B22" s="14">
        <f>Historicals!D43</f>
        <v>182448</v>
      </c>
      <c r="C22" s="14">
        <f>'IS Forecast'!E19*Historicals!D43/Historicals!D9</f>
        <v>197844.08058315847</v>
      </c>
      <c r="D22" s="14">
        <f>'IS Forecast'!F19*Historicals!D43/Historicals!D9</f>
        <v>216481.45898572772</v>
      </c>
      <c r="E22" s="2" t="s">
        <v>357</v>
      </c>
    </row>
    <row r="23" spans="1:5" ht="15" customHeight="1" x14ac:dyDescent="0.35">
      <c r="A23" s="2" t="s">
        <v>366</v>
      </c>
      <c r="B23" s="14">
        <f>Historicals!D44</f>
        <v>240375</v>
      </c>
      <c r="C23" s="14">
        <f>'IS Forecast'!E19*Historicals!D44/Historicals!D9</f>
        <v>260659.31591564018</v>
      </c>
      <c r="D23" s="14">
        <f>'IS Forecast'!F19*Historicals!D44/Historicals!D9</f>
        <v>285214.0374446105</v>
      </c>
      <c r="E23" s="2" t="s">
        <v>357</v>
      </c>
    </row>
    <row r="24" spans="1:5" ht="15" customHeight="1" x14ac:dyDescent="0.35">
      <c r="A24" s="2" t="s">
        <v>367</v>
      </c>
      <c r="B24" s="14">
        <f>Historicals!D45+Historicals!D47</f>
        <v>5075814</v>
      </c>
      <c r="C24" s="14">
        <f>B24*'IS Forecast'!E7/'IS Forecast'!B7</f>
        <v>5490217.4190994557</v>
      </c>
      <c r="D24" s="14">
        <f>C24*'IS Forecast'!F7/'IS Forecast'!E7</f>
        <v>5923457.3572488865</v>
      </c>
      <c r="E24" s="2" t="s">
        <v>362</v>
      </c>
    </row>
    <row r="25" spans="1:5" ht="15" customHeight="1" x14ac:dyDescent="0.35">
      <c r="A25" s="2" t="s">
        <v>368</v>
      </c>
      <c r="B25" s="14">
        <f>Historicals!D48+Historicals!D49</f>
        <v>202348</v>
      </c>
      <c r="C25" s="14">
        <f>B25</f>
        <v>202348</v>
      </c>
      <c r="D25" s="14">
        <f>C25</f>
        <v>202348</v>
      </c>
      <c r="E25" s="2" t="s">
        <v>238</v>
      </c>
    </row>
    <row r="26" spans="1:5" ht="15" customHeight="1" x14ac:dyDescent="0.35">
      <c r="A26" s="3" t="s">
        <v>78</v>
      </c>
      <c r="B26" s="17">
        <f>SUM(B20:B25)</f>
        <v>6163924</v>
      </c>
      <c r="C26" s="17">
        <f>SUM(C20:C25)</f>
        <v>6661950.9000705201</v>
      </c>
      <c r="D26" s="17">
        <f>SUM(D20:D25)</f>
        <v>7190772.0210437793</v>
      </c>
    </row>
    <row r="28" spans="1:5" ht="15" customHeight="1" x14ac:dyDescent="0.35">
      <c r="A28" s="3" t="s">
        <v>369</v>
      </c>
    </row>
    <row r="29" spans="1:5" ht="15" customHeight="1" x14ac:dyDescent="0.35">
      <c r="A29" s="2" t="s">
        <v>370</v>
      </c>
      <c r="B29" s="14">
        <f>Historicals!D51+Historicals!D52</f>
        <v>2217988</v>
      </c>
      <c r="C29" s="14">
        <f>B29+Scenarios!$E$26</f>
        <v>2327988</v>
      </c>
      <c r="D29" s="14">
        <f>C29+Scenarios!$E$27</f>
        <v>2447988</v>
      </c>
      <c r="E29" s="2" t="s">
        <v>371</v>
      </c>
    </row>
    <row r="30" spans="1:5" ht="15" customHeight="1" x14ac:dyDescent="0.35">
      <c r="A30" s="2" t="s">
        <v>372</v>
      </c>
      <c r="B30" s="14">
        <f>Historicals!D54</f>
        <v>-7289</v>
      </c>
      <c r="C30" s="14">
        <f>B30</f>
        <v>-7289</v>
      </c>
      <c r="D30" s="14">
        <f>C30</f>
        <v>-7289</v>
      </c>
      <c r="E30" s="2" t="s">
        <v>238</v>
      </c>
    </row>
    <row r="31" spans="1:5" ht="15" customHeight="1" x14ac:dyDescent="0.35">
      <c r="A31" s="2" t="s">
        <v>84</v>
      </c>
      <c r="B31" s="14">
        <f>Historicals!D55</f>
        <v>619908</v>
      </c>
      <c r="C31" s="14">
        <f>B31+'IS Forecast'!E32-Scenarios!$E$28-Scenarios!$E$30</f>
        <v>212924.25056180474</v>
      </c>
      <c r="D31" s="14">
        <f>C31+'IS Forecast'!F32-Scenarios!$E$29-Scenarios!$E$30</f>
        <v>440434.73484764132</v>
      </c>
      <c r="E31" s="2" t="s">
        <v>373</v>
      </c>
    </row>
    <row r="32" spans="1:5" ht="15" customHeight="1" x14ac:dyDescent="0.35">
      <c r="A32" s="3" t="s">
        <v>374</v>
      </c>
      <c r="B32" s="17">
        <f>SUM(B29:B31)</f>
        <v>2830607</v>
      </c>
      <c r="C32" s="17">
        <f>SUM(C29:C31)</f>
        <v>2533623.2505618045</v>
      </c>
      <c r="D32" s="17">
        <f>SUM(D29:D31)</f>
        <v>2881133.7348476416</v>
      </c>
    </row>
    <row r="33" spans="1:5" ht="15" customHeight="1" x14ac:dyDescent="0.35">
      <c r="A33" s="3" t="s">
        <v>86</v>
      </c>
      <c r="B33" s="17">
        <f>B26+B32</f>
        <v>8994531</v>
      </c>
      <c r="C33" s="17">
        <f>C26+C32</f>
        <v>9195574.1506323256</v>
      </c>
      <c r="D33" s="17">
        <f>D26+D32</f>
        <v>10071905.75589142</v>
      </c>
    </row>
    <row r="35" spans="1:5" ht="15" customHeight="1" x14ac:dyDescent="0.35">
      <c r="A35" s="2" t="s">
        <v>375</v>
      </c>
      <c r="B35" s="14">
        <f>B17-B33</f>
        <v>0</v>
      </c>
      <c r="C35" s="14">
        <f>C17-C33</f>
        <v>0</v>
      </c>
      <c r="D35" s="14">
        <f>D17-D33</f>
        <v>0</v>
      </c>
      <c r="E35" s="2" t="s">
        <v>376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zoomScaleNormal="100" workbookViewId="0"/>
  </sheetViews>
  <sheetFormatPr defaultColWidth="8.6328125" defaultRowHeight="14.5" x14ac:dyDescent="0.35"/>
  <cols>
    <col min="1" max="1" width="44" customWidth="1"/>
    <col min="2" max="4" width="13" customWidth="1"/>
    <col min="5" max="5" width="46" customWidth="1"/>
  </cols>
  <sheetData>
    <row r="1" spans="1:5" ht="15" customHeight="1" x14ac:dyDescent="0.35">
      <c r="A1" s="1" t="s">
        <v>377</v>
      </c>
    </row>
    <row r="2" spans="1:5" ht="15" customHeight="1" x14ac:dyDescent="0.35">
      <c r="A2" s="2" t="s">
        <v>378</v>
      </c>
    </row>
    <row r="4" spans="1:5" ht="15" customHeight="1" x14ac:dyDescent="0.35">
      <c r="A4" s="4" t="s">
        <v>199</v>
      </c>
      <c r="B4" s="5" t="s">
        <v>316</v>
      </c>
      <c r="C4" s="5" t="s">
        <v>319</v>
      </c>
      <c r="D4" s="5" t="s">
        <v>320</v>
      </c>
      <c r="E4" s="5" t="s">
        <v>379</v>
      </c>
    </row>
    <row r="5" spans="1:5" ht="15" customHeight="1" x14ac:dyDescent="0.35">
      <c r="A5" s="2" t="s">
        <v>53</v>
      </c>
      <c r="B5" s="14">
        <f>Historicals!D23</f>
        <v>1535761</v>
      </c>
      <c r="C5" s="14">
        <f>'IS Forecast'!E32</f>
        <v>1397921.2505618047</v>
      </c>
      <c r="D5" s="14">
        <f>'IS Forecast'!F32</f>
        <v>1477510.4842858366</v>
      </c>
    </row>
    <row r="6" spans="1:5" ht="15" customHeight="1" x14ac:dyDescent="0.35">
      <c r="A6" s="2" t="s">
        <v>45</v>
      </c>
      <c r="B6" s="14">
        <f>Historicals!D15</f>
        <v>361382</v>
      </c>
      <c r="C6" s="14">
        <f>'IS Forecast'!E25</f>
        <v>405113.72074191907</v>
      </c>
      <c r="D6" s="14">
        <f>'IS Forecast'!F25</f>
        <v>448187.92409807839</v>
      </c>
    </row>
    <row r="7" spans="1:5" ht="15" customHeight="1" x14ac:dyDescent="0.35">
      <c r="A7" s="2" t="s">
        <v>91</v>
      </c>
      <c r="B7" s="14">
        <f>Historicals!D65</f>
        <v>119543</v>
      </c>
      <c r="C7" s="14">
        <f>Scenarios!$E$26</f>
        <v>110000</v>
      </c>
      <c r="D7" s="14">
        <f>Scenarios!$E$27</f>
        <v>120000</v>
      </c>
    </row>
    <row r="8" spans="1:5" ht="15" customHeight="1" x14ac:dyDescent="0.35">
      <c r="A8" s="2" t="s">
        <v>93</v>
      </c>
      <c r="C8" s="14">
        <f>-('BS Forecast'!C8-'BS Forecast'!B8)</f>
        <v>-13203.560162481794</v>
      </c>
      <c r="D8" s="14">
        <f>-('BS Forecast'!D8-'BS Forecast'!C8)</f>
        <v>-15983.272215296369</v>
      </c>
    </row>
    <row r="9" spans="1:5" ht="15" customHeight="1" x14ac:dyDescent="0.35">
      <c r="A9" s="2" t="s">
        <v>94</v>
      </c>
      <c r="C9" s="14">
        <f>-('BS Forecast'!C9-'BS Forecast'!B9)</f>
        <v>-5066.5938910388941</v>
      </c>
      <c r="D9" s="14">
        <f>-('BS Forecast'!D9-'BS Forecast'!C9)</f>
        <v>-6005.8737016147352</v>
      </c>
    </row>
    <row r="10" spans="1:5" ht="15" customHeight="1" x14ac:dyDescent="0.35">
      <c r="A10" s="2" t="s">
        <v>380</v>
      </c>
      <c r="C10" s="14">
        <f>-('BS Forecast'!C10-'BS Forecast'!B10)</f>
        <v>-10164.309316854342</v>
      </c>
      <c r="D10" s="14">
        <f>-('BS Forecast'!D10-'BS Forecast'!C10)</f>
        <v>-12304.175592987915</v>
      </c>
    </row>
    <row r="11" spans="1:5" ht="15" customHeight="1" x14ac:dyDescent="0.35">
      <c r="A11" s="2" t="s">
        <v>98</v>
      </c>
      <c r="C11" s="14">
        <f>('BS Forecast'!C20-'BS Forecast'!B20)</f>
        <v>21779.046734541102</v>
      </c>
      <c r="D11" s="14">
        <f>('BS Forecast'!D20-'BS Forecast'!C20)</f>
        <v>25816.595298976637</v>
      </c>
    </row>
    <row r="12" spans="1:5" ht="15" customHeight="1" x14ac:dyDescent="0.35">
      <c r="A12" s="2" t="s">
        <v>381</v>
      </c>
      <c r="C12" s="14">
        <f>('BS Forecast'!C21-'BS Forecast'!B21)</f>
        <v>26164.037737724662</v>
      </c>
      <c r="D12" s="14">
        <f>('BS Forecast'!D21-'BS Forecast'!C21)</f>
        <v>26572.487593311816</v>
      </c>
    </row>
    <row r="13" spans="1:5" ht="15" customHeight="1" x14ac:dyDescent="0.35">
      <c r="A13" s="2" t="s">
        <v>100</v>
      </c>
      <c r="C13" s="14">
        <f>('BS Forecast'!C22-'BS Forecast'!B22)</f>
        <v>15396.080583158473</v>
      </c>
      <c r="D13" s="14">
        <f>('BS Forecast'!D22-'BS Forecast'!C22)</f>
        <v>18637.378402569244</v>
      </c>
    </row>
    <row r="14" spans="1:5" ht="15" customHeight="1" x14ac:dyDescent="0.35">
      <c r="A14" s="2" t="s">
        <v>101</v>
      </c>
      <c r="C14" s="14">
        <f>('BS Forecast'!C23-'BS Forecast'!B23)</f>
        <v>20284.315915640182</v>
      </c>
      <c r="D14" s="14">
        <f>('BS Forecast'!D23-'BS Forecast'!C23)</f>
        <v>24554.721528970316</v>
      </c>
    </row>
    <row r="15" spans="1:5" ht="15" customHeight="1" x14ac:dyDescent="0.35">
      <c r="A15" s="2" t="s">
        <v>382</v>
      </c>
      <c r="C15" s="14">
        <f>('BS Forecast'!C24-'BS Forecast'!B24)-('BS Forecast'!C15-'BS Forecast'!B15)</f>
        <v>50031.004453240894</v>
      </c>
      <c r="D15" s="14">
        <f>('BS Forecast'!D24-'BS Forecast'!C24)-('BS Forecast'!D15-'BS Forecast'!C15)</f>
        <v>52305.141019296832</v>
      </c>
    </row>
    <row r="16" spans="1:5" ht="15" customHeight="1" x14ac:dyDescent="0.35">
      <c r="A16" s="3" t="s">
        <v>383</v>
      </c>
      <c r="B16" s="17">
        <f>Historicals!D79</f>
        <v>2113926</v>
      </c>
      <c r="C16" s="17">
        <f>SUM(C5:C15)</f>
        <v>2018254.9933576542</v>
      </c>
      <c r="D16" s="17">
        <f>SUM(D5:D15)</f>
        <v>2159291.4107171409</v>
      </c>
      <c r="E16" s="2" t="s">
        <v>384</v>
      </c>
    </row>
    <row r="17" spans="1:5" ht="15" customHeight="1" x14ac:dyDescent="0.35">
      <c r="A17" s="2" t="s">
        <v>385</v>
      </c>
      <c r="B17" s="14">
        <f>Historicals!D80</f>
        <v>-666336</v>
      </c>
      <c r="C17" s="14">
        <f>-'IS Forecast'!E8*Scenarios!$E$15</f>
        <v>-690000</v>
      </c>
      <c r="D17" s="14">
        <f>-'IS Forecast'!F8*Scenarios!$E$15*1.03</f>
        <v>-741600</v>
      </c>
      <c r="E17" s="2" t="s">
        <v>386</v>
      </c>
    </row>
    <row r="18" spans="1:5" ht="15" customHeight="1" x14ac:dyDescent="0.35">
      <c r="A18" s="2" t="s">
        <v>387</v>
      </c>
      <c r="B18" s="14">
        <f>Historicals!D81+Historicals!D82+Historicals!D83</f>
        <v>631254</v>
      </c>
      <c r="C18" s="14">
        <f>'BS Forecast'!B12-'BS Forecast'!C12</f>
        <v>348977</v>
      </c>
      <c r="D18" s="14">
        <f>'BS Forecast'!C12-'BS Forecast'!D12</f>
        <v>0</v>
      </c>
    </row>
    <row r="19" spans="1:5" ht="15" customHeight="1" x14ac:dyDescent="0.35">
      <c r="A19" s="3" t="s">
        <v>388</v>
      </c>
      <c r="B19" s="17">
        <f>Historicals!D84</f>
        <v>-35082</v>
      </c>
      <c r="C19" s="17">
        <f>C17+C18</f>
        <v>-341023</v>
      </c>
      <c r="D19" s="17">
        <f>D17+D18</f>
        <v>-741600</v>
      </c>
    </row>
    <row r="20" spans="1:5" ht="15" customHeight="1" x14ac:dyDescent="0.35">
      <c r="A20" s="2" t="s">
        <v>389</v>
      </c>
      <c r="B20" s="14">
        <f>Historicals!D85</f>
        <v>-2425516</v>
      </c>
      <c r="C20" s="14">
        <f>-Scenarios!$E$28</f>
        <v>-1754905</v>
      </c>
      <c r="D20" s="14">
        <f>-Scenarios!$E$29</f>
        <v>-1200000</v>
      </c>
    </row>
    <row r="21" spans="1:5" ht="15" customHeight="1" x14ac:dyDescent="0.35">
      <c r="A21" s="2" t="s">
        <v>390</v>
      </c>
      <c r="B21" s="14">
        <f>Historicals!D86+Historicals!D87</f>
        <v>-45382</v>
      </c>
      <c r="C21" s="14">
        <f>-Scenarios!$E$30</f>
        <v>-50000</v>
      </c>
      <c r="D21" s="14">
        <f>-Scenarios!$E$30</f>
        <v>-50000</v>
      </c>
    </row>
    <row r="22" spans="1:5" ht="15" customHeight="1" x14ac:dyDescent="0.35">
      <c r="A22" s="3" t="s">
        <v>391</v>
      </c>
      <c r="B22" s="17">
        <f>Historicals!D88</f>
        <v>-2470898</v>
      </c>
      <c r="C22" s="17">
        <f>C20+C21</f>
        <v>-1804905</v>
      </c>
      <c r="D22" s="17">
        <f>D20+D21</f>
        <v>-1250000</v>
      </c>
    </row>
    <row r="24" spans="1:5" ht="15" customHeight="1" x14ac:dyDescent="0.35">
      <c r="A24" s="3" t="s">
        <v>392</v>
      </c>
      <c r="C24" s="17">
        <f>C16+C19+C22</f>
        <v>-127673.0066423458</v>
      </c>
      <c r="D24" s="17">
        <f>D16+D19+D22</f>
        <v>167691.41071714088</v>
      </c>
    </row>
    <row r="25" spans="1:5" ht="15" customHeight="1" x14ac:dyDescent="0.35">
      <c r="A25" s="2" t="s">
        <v>393</v>
      </c>
      <c r="C25" s="14">
        <f>'BS Forecast'!B7</f>
        <v>350545</v>
      </c>
      <c r="D25" s="14">
        <f>C26</f>
        <v>222871.9933576542</v>
      </c>
    </row>
    <row r="26" spans="1:5" ht="15" customHeight="1" x14ac:dyDescent="0.35">
      <c r="A26" s="3" t="s">
        <v>394</v>
      </c>
      <c r="C26" s="17">
        <f>C25+C24</f>
        <v>222871.9933576542</v>
      </c>
      <c r="D26" s="17">
        <f>D25+D24</f>
        <v>390563.40407479508</v>
      </c>
      <c r="E26" s="2" t="s">
        <v>395</v>
      </c>
    </row>
    <row r="28" spans="1:5" ht="15" customHeight="1" x14ac:dyDescent="0.35">
      <c r="A28" s="2" t="s">
        <v>396</v>
      </c>
      <c r="B28" s="14">
        <f>B16+B17</f>
        <v>1447590</v>
      </c>
      <c r="C28" s="14">
        <f>C16+C17</f>
        <v>1328254.9933576542</v>
      </c>
      <c r="D28" s="14">
        <f>D16+D17</f>
        <v>1417691.4107171409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4"/>
  <sheetViews>
    <sheetView tabSelected="1" topLeftCell="A3" zoomScaleNormal="100" workbookViewId="0"/>
  </sheetViews>
  <sheetFormatPr defaultColWidth="8.6328125" defaultRowHeight="14.5" x14ac:dyDescent="0.35"/>
  <cols>
    <col min="1" max="1" width="52" customWidth="1"/>
    <col min="2" max="7" width="14" customWidth="1"/>
  </cols>
  <sheetData>
    <row r="1" spans="1:7" ht="15" customHeight="1" x14ac:dyDescent="0.35">
      <c r="A1" s="1" t="s">
        <v>397</v>
      </c>
    </row>
    <row r="2" spans="1:7" ht="15" customHeight="1" x14ac:dyDescent="0.35">
      <c r="A2" s="2" t="s">
        <v>398</v>
      </c>
    </row>
    <row r="4" spans="1:7" ht="15" customHeight="1" x14ac:dyDescent="0.35">
      <c r="A4" s="4" t="s">
        <v>199</v>
      </c>
      <c r="B4" s="5" t="s">
        <v>399</v>
      </c>
      <c r="C4" s="5" t="s">
        <v>400</v>
      </c>
      <c r="D4" s="5" t="s">
        <v>401</v>
      </c>
      <c r="E4" s="5" t="s">
        <v>402</v>
      </c>
      <c r="F4" s="5" t="s">
        <v>403</v>
      </c>
      <c r="G4" s="5" t="s">
        <v>404</v>
      </c>
    </row>
    <row r="5" spans="1:7" ht="15" customHeight="1" x14ac:dyDescent="0.35">
      <c r="A5" s="3" t="s">
        <v>38</v>
      </c>
      <c r="B5" s="7">
        <v>5938646</v>
      </c>
      <c r="C5" s="7">
        <v>6436804</v>
      </c>
      <c r="D5" s="6">
        <f t="shared" ref="D5:D14" si="0">C5-B5</f>
        <v>498158</v>
      </c>
      <c r="E5" s="12">
        <f t="shared" ref="E5:E14" si="1">C5/B5-1</f>
        <v>8.3884104221736644E-2</v>
      </c>
      <c r="F5" s="12">
        <f t="shared" ref="F5:F14" si="2">B5/B$5</f>
        <v>1</v>
      </c>
      <c r="G5" s="12">
        <f t="shared" ref="G5:G14" si="3">C5/C$5</f>
        <v>1</v>
      </c>
    </row>
    <row r="6" spans="1:7" ht="15" customHeight="1" x14ac:dyDescent="0.35">
      <c r="A6" s="2" t="s">
        <v>40</v>
      </c>
      <c r="B6" s="7">
        <v>1724392</v>
      </c>
      <c r="C6" s="7">
        <v>1906919</v>
      </c>
      <c r="D6" s="6">
        <f t="shared" si="0"/>
        <v>182527</v>
      </c>
      <c r="E6" s="12">
        <f t="shared" si="1"/>
        <v>0.10585006193487323</v>
      </c>
      <c r="F6" s="12">
        <f t="shared" si="2"/>
        <v>0.29036787173372514</v>
      </c>
      <c r="G6" s="12">
        <f t="shared" si="3"/>
        <v>0.29625245696466757</v>
      </c>
    </row>
    <row r="7" spans="1:7" ht="15" customHeight="1" x14ac:dyDescent="0.35">
      <c r="A7" s="2" t="s">
        <v>41</v>
      </c>
      <c r="B7" s="7">
        <v>1474487</v>
      </c>
      <c r="C7" s="7">
        <v>1641861</v>
      </c>
      <c r="D7" s="6">
        <f t="shared" si="0"/>
        <v>167374</v>
      </c>
      <c r="E7" s="12">
        <f t="shared" si="1"/>
        <v>0.11351337787311788</v>
      </c>
      <c r="F7" s="12">
        <f t="shared" si="2"/>
        <v>0.24828673067901336</v>
      </c>
      <c r="G7" s="12">
        <f t="shared" si="3"/>
        <v>0.25507394663562849</v>
      </c>
    </row>
    <row r="8" spans="1:7" ht="15" customHeight="1" x14ac:dyDescent="0.35">
      <c r="A8" s="2" t="s">
        <v>42</v>
      </c>
      <c r="B8" s="7">
        <v>304091</v>
      </c>
      <c r="C8" s="7">
        <v>344091</v>
      </c>
      <c r="D8" s="6">
        <f t="shared" si="0"/>
        <v>40000</v>
      </c>
      <c r="E8" s="12">
        <f t="shared" si="1"/>
        <v>0.13153957203600242</v>
      </c>
      <c r="F8" s="12">
        <f t="shared" si="2"/>
        <v>5.1205443126261442E-2</v>
      </c>
      <c r="G8" s="12">
        <f t="shared" si="3"/>
        <v>5.3456808689529775E-2</v>
      </c>
    </row>
    <row r="9" spans="1:7" ht="15" customHeight="1" x14ac:dyDescent="0.35">
      <c r="A9" s="2" t="s">
        <v>43</v>
      </c>
      <c r="B9" s="7">
        <v>843824</v>
      </c>
      <c r="C9" s="7">
        <v>980407</v>
      </c>
      <c r="D9" s="6">
        <f t="shared" si="0"/>
        <v>136583</v>
      </c>
      <c r="E9" s="12">
        <f t="shared" si="1"/>
        <v>0.16186195225544653</v>
      </c>
      <c r="F9" s="12">
        <f t="shared" si="2"/>
        <v>0.14209030139193346</v>
      </c>
      <c r="G9" s="12">
        <f t="shared" si="3"/>
        <v>0.15231270052653459</v>
      </c>
    </row>
    <row r="10" spans="1:7" ht="15" customHeight="1" x14ac:dyDescent="0.35">
      <c r="A10" s="2" t="s">
        <v>44</v>
      </c>
      <c r="B10" s="7">
        <v>344934</v>
      </c>
      <c r="C10" s="7">
        <v>394191</v>
      </c>
      <c r="D10" s="6">
        <f t="shared" si="0"/>
        <v>49257</v>
      </c>
      <c r="E10" s="12">
        <f t="shared" si="1"/>
        <v>0.14280123153994673</v>
      </c>
      <c r="F10" s="12">
        <f t="shared" si="2"/>
        <v>5.8082936750228922E-2</v>
      </c>
      <c r="G10" s="12">
        <f t="shared" si="3"/>
        <v>6.1240174471678802E-2</v>
      </c>
    </row>
    <row r="11" spans="1:7" ht="15" customHeight="1" x14ac:dyDescent="0.35">
      <c r="A11" s="2" t="s">
        <v>45</v>
      </c>
      <c r="B11" s="7">
        <v>178156</v>
      </c>
      <c r="C11" s="7">
        <v>195045</v>
      </c>
      <c r="D11" s="6">
        <f t="shared" si="0"/>
        <v>16889</v>
      </c>
      <c r="E11" s="12">
        <f t="shared" si="1"/>
        <v>9.4798940254608333E-2</v>
      </c>
      <c r="F11" s="12">
        <f t="shared" si="2"/>
        <v>2.9999430846694684E-2</v>
      </c>
      <c r="G11" s="12">
        <f t="shared" si="3"/>
        <v>3.0301528522540068E-2</v>
      </c>
    </row>
    <row r="12" spans="1:7" ht="15" customHeight="1" x14ac:dyDescent="0.35">
      <c r="A12" s="2" t="s">
        <v>46</v>
      </c>
      <c r="B12" s="7">
        <v>18820</v>
      </c>
      <c r="C12" s="7">
        <v>28005</v>
      </c>
      <c r="D12" s="6">
        <f t="shared" si="0"/>
        <v>9185</v>
      </c>
      <c r="E12" s="12">
        <f t="shared" si="1"/>
        <v>0.4880446333687567</v>
      </c>
      <c r="F12" s="12">
        <f t="shared" si="2"/>
        <v>3.1690725461662474E-3</v>
      </c>
      <c r="G12" s="12">
        <f t="shared" si="3"/>
        <v>4.350761651279113E-3</v>
      </c>
    </row>
    <row r="13" spans="1:7" ht="15" customHeight="1" x14ac:dyDescent="0.35">
      <c r="A13" s="2" t="s">
        <v>47</v>
      </c>
      <c r="B13" s="7">
        <v>11635</v>
      </c>
      <c r="C13" s="7">
        <v>23627</v>
      </c>
      <c r="D13" s="6">
        <f t="shared" si="0"/>
        <v>11992</v>
      </c>
      <c r="E13" s="12">
        <f t="shared" si="1"/>
        <v>1.0306832831972499</v>
      </c>
      <c r="F13" s="12">
        <f t="shared" si="2"/>
        <v>1.9592008009906635E-3</v>
      </c>
      <c r="G13" s="12">
        <f t="shared" si="3"/>
        <v>3.670610445805092E-3</v>
      </c>
    </row>
    <row r="14" spans="1:7" ht="15" customHeight="1" x14ac:dyDescent="0.35">
      <c r="A14" s="3" t="s">
        <v>49</v>
      </c>
      <c r="B14" s="6">
        <f>B5-SUM(B6:B13)</f>
        <v>1038307</v>
      </c>
      <c r="C14" s="6">
        <f>C5-SUM(C6:C13)</f>
        <v>922658</v>
      </c>
      <c r="D14" s="6">
        <f t="shared" si="0"/>
        <v>-115649</v>
      </c>
      <c r="E14" s="12">
        <f t="shared" si="1"/>
        <v>-0.11138227903693221</v>
      </c>
      <c r="F14" s="12">
        <f t="shared" si="2"/>
        <v>0.17483901212498607</v>
      </c>
      <c r="G14" s="12">
        <f t="shared" si="3"/>
        <v>0.14334101209233652</v>
      </c>
    </row>
    <row r="15" spans="1:7" ht="15" customHeight="1" x14ac:dyDescent="0.35">
      <c r="A15" s="2" t="s">
        <v>405</v>
      </c>
      <c r="B15" s="6">
        <f>B14-1038307</f>
        <v>0</v>
      </c>
      <c r="C15" s="6">
        <f>C14-922658</f>
        <v>0</v>
      </c>
    </row>
    <row r="17" spans="1:3" ht="15" customHeight="1" x14ac:dyDescent="0.35">
      <c r="A17" s="3" t="s">
        <v>406</v>
      </c>
    </row>
    <row r="18" spans="1:3" ht="15" customHeight="1" x14ac:dyDescent="0.35">
      <c r="A18" s="2" t="s">
        <v>407</v>
      </c>
      <c r="B18" s="7">
        <v>3839</v>
      </c>
      <c r="C18" s="7">
        <v>4186</v>
      </c>
    </row>
    <row r="19" spans="1:3" ht="15" customHeight="1" x14ac:dyDescent="0.35">
      <c r="A19" s="2" t="s">
        <v>408</v>
      </c>
      <c r="B19" s="7">
        <v>118</v>
      </c>
      <c r="C19" s="7">
        <v>149</v>
      </c>
    </row>
    <row r="20" spans="1:3" ht="15" customHeight="1" x14ac:dyDescent="0.35">
      <c r="A20" s="2" t="s">
        <v>409</v>
      </c>
      <c r="B20" s="11">
        <v>-2.3E-2</v>
      </c>
      <c r="C20" s="11">
        <v>1.4E-2</v>
      </c>
    </row>
    <row r="21" spans="1:3" ht="15" customHeight="1" x14ac:dyDescent="0.35">
      <c r="A21" s="2" t="s">
        <v>410</v>
      </c>
      <c r="B21" s="11">
        <v>-3.6999999999999998E-2</v>
      </c>
      <c r="C21" s="11">
        <v>8.0000000000000002E-3</v>
      </c>
    </row>
    <row r="22" spans="1:3" ht="15" customHeight="1" x14ac:dyDescent="0.35">
      <c r="A22" s="2" t="s">
        <v>411</v>
      </c>
      <c r="B22" s="11">
        <v>1.4E-2</v>
      </c>
      <c r="C22" s="11">
        <v>6.0000000000000001E-3</v>
      </c>
    </row>
    <row r="23" spans="1:3" ht="15" customHeight="1" x14ac:dyDescent="0.35">
      <c r="A23" s="2" t="s">
        <v>412</v>
      </c>
      <c r="B23" s="11">
        <v>2.4E-2</v>
      </c>
      <c r="C23" s="11">
        <v>1.2999999999999999E-2</v>
      </c>
    </row>
    <row r="24" spans="1:3" ht="15" customHeight="1" x14ac:dyDescent="0.35">
      <c r="A24" s="2" t="s">
        <v>413</v>
      </c>
      <c r="B24" s="11">
        <v>-0.04</v>
      </c>
      <c r="C24" s="11">
        <v>2.1999999999999999E-2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&amp; Checks</vt:lpstr>
      <vt:lpstr>Historicals</vt:lpstr>
      <vt:lpstr>Analysis</vt:lpstr>
      <vt:lpstr>Assumptions</vt:lpstr>
      <vt:lpstr>FY25 Plan vs Actual</vt:lpstr>
      <vt:lpstr>Scenarios</vt:lpstr>
      <vt:lpstr>IS Forecast</vt:lpstr>
      <vt:lpstr>BS Forecast</vt:lpstr>
      <vt:lpstr>CF Forecast</vt:lpstr>
      <vt:lpstr>H1 2026 Checkpoint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agatsyapatel1234@gmail.com</cp:lastModifiedBy>
  <cp:revision>0</cp:revision>
  <dcterms:created xsi:type="dcterms:W3CDTF">2026-10-01T20:50:19Z</dcterms:created>
  <dcterms:modified xsi:type="dcterms:W3CDTF">2026-10-08T20:53:44Z</dcterms:modified>
  <dc:language>en-US</dc:language>
</cp:coreProperties>
</file>